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jtra\Documents\fantasy_football\football_scrape\final_data\"/>
    </mc:Choice>
  </mc:AlternateContent>
  <xr:revisionPtr revIDLastSave="0" documentId="8_{853DAFF9-A65F-44E8-869F-9794E2450F0C}" xr6:coauthVersionLast="47" xr6:coauthVersionMax="47" xr10:uidLastSave="{00000000-0000-0000-0000-000000000000}"/>
  <bookViews>
    <workbookView xWindow="24945" yWindow="4470" windowWidth="24705" windowHeight="15345"/>
  </bookViews>
  <sheets>
    <sheet name="combined_analysis_weighted_bi_n" sheetId="1" r:id="rId1"/>
  </sheets>
  <calcPr calcId="0"/>
</workbook>
</file>

<file path=xl/calcChain.xml><?xml version="1.0" encoding="utf-8"?>
<calcChain xmlns="http://schemas.openxmlformats.org/spreadsheetml/2006/main">
  <c r="T5" i="1" l="1"/>
  <c r="Q7" i="1"/>
  <c r="Q3" i="1"/>
  <c r="Q4" i="1"/>
  <c r="R4" i="1" s="1"/>
  <c r="Q5" i="1"/>
  <c r="R5" i="1" s="1"/>
  <c r="Q6" i="1"/>
  <c r="R6" i="1" s="1"/>
  <c r="Q8" i="1"/>
  <c r="R8" i="1" s="1"/>
  <c r="Q9" i="1"/>
  <c r="R9" i="1" s="1"/>
  <c r="Q10" i="1"/>
  <c r="R10" i="1" s="1"/>
  <c r="Q11" i="1"/>
  <c r="R11" i="1" s="1"/>
  <c r="Q12" i="1"/>
  <c r="R12" i="1" s="1"/>
  <c r="Q13" i="1"/>
  <c r="R13" i="1" s="1"/>
  <c r="Q2" i="1"/>
  <c r="R2" i="1" s="1"/>
  <c r="R3" i="1" l="1"/>
  <c r="R7" i="1"/>
</calcChain>
</file>

<file path=xl/sharedStrings.xml><?xml version="1.0" encoding="utf-8"?>
<sst xmlns="http://schemas.openxmlformats.org/spreadsheetml/2006/main" count="1320" uniqueCount="343">
  <si>
    <t>player_name</t>
  </si>
  <si>
    <t>normalized_ktc</t>
  </si>
  <si>
    <t>normalized_fc</t>
  </si>
  <si>
    <t>ktc_rank</t>
  </si>
  <si>
    <t>fc_position</t>
  </si>
  <si>
    <t>fc_rank_overall</t>
  </si>
  <si>
    <t>avg_norm</t>
  </si>
  <si>
    <t>weighted_avg_norm</t>
  </si>
  <si>
    <t>weighted_avg_norm_rank</t>
  </si>
  <si>
    <t>weighted_norm_value_drop</t>
  </si>
  <si>
    <t>draft_year</t>
  </si>
  <si>
    <t>rnd</t>
  </si>
  <si>
    <t>pick</t>
  </si>
  <si>
    <t>team_name</t>
  </si>
  <si>
    <t>Patrick Mahomes</t>
  </si>
  <si>
    <t>QB</t>
  </si>
  <si>
    <t>NA</t>
  </si>
  <si>
    <t>Pablo and the Stallions</t>
  </si>
  <si>
    <t>a</t>
  </si>
  <si>
    <t>Justin Jefferson</t>
  </si>
  <si>
    <t>WR</t>
  </si>
  <si>
    <t>The Serle Brothers</t>
  </si>
  <si>
    <t>b</t>
  </si>
  <si>
    <t>Josh Allen</t>
  </si>
  <si>
    <t>The Scene Worships Me</t>
  </si>
  <si>
    <t>c</t>
  </si>
  <si>
    <t>Jalen Hurts</t>
  </si>
  <si>
    <t>A Team of Chance</t>
  </si>
  <si>
    <t>d</t>
  </si>
  <si>
    <t>Joe Burrow</t>
  </si>
  <si>
    <t>JoJos Bizzare Massage</t>
  </si>
  <si>
    <t>Ja'Marr Chase</t>
  </si>
  <si>
    <t>Bijan Robinson</t>
  </si>
  <si>
    <t>RB</t>
  </si>
  <si>
    <t>Howling for Chubb</t>
  </si>
  <si>
    <t>me</t>
  </si>
  <si>
    <t>Lamar Jackson</t>
  </si>
  <si>
    <t>DirtyDan113</t>
  </si>
  <si>
    <t>h</t>
  </si>
  <si>
    <t>Justin Herbert</t>
  </si>
  <si>
    <t>Kissy Boy Jones</t>
  </si>
  <si>
    <t>i</t>
  </si>
  <si>
    <t>Trevor Lawrence</t>
  </si>
  <si>
    <t>HorseWomen of Color</t>
  </si>
  <si>
    <t>j</t>
  </si>
  <si>
    <t>CeeDee Lamb</t>
  </si>
  <si>
    <t>k</t>
  </si>
  <si>
    <t>A.J. Brown</t>
  </si>
  <si>
    <t>l</t>
  </si>
  <si>
    <t>Garrett Wilson</t>
  </si>
  <si>
    <t>Breece Hall</t>
  </si>
  <si>
    <t>Justin Fields</t>
  </si>
  <si>
    <t>Christian McCaffrey</t>
  </si>
  <si>
    <t>Anthony Richardson</t>
  </si>
  <si>
    <t>Amon-Ra St. Brown</t>
  </si>
  <si>
    <t>The Millennium Beer</t>
  </si>
  <si>
    <t>Jonathan Taylor</t>
  </si>
  <si>
    <t>Jaylen Waddle</t>
  </si>
  <si>
    <t>Tyreek Hill</t>
  </si>
  <si>
    <t>Chris Olave</t>
  </si>
  <si>
    <t>Saquon Barkley</t>
  </si>
  <si>
    <t>Jahmyr Gibbs</t>
  </si>
  <si>
    <t>Mark Andrews</t>
  </si>
  <si>
    <t>TE</t>
  </si>
  <si>
    <t>Deshaun Watson</t>
  </si>
  <si>
    <t>DeVonta Smith</t>
  </si>
  <si>
    <t>Drake London</t>
  </si>
  <si>
    <t>Bryce Young</t>
  </si>
  <si>
    <t>Tee Higgins</t>
  </si>
  <si>
    <t>Kyle Pitts</t>
  </si>
  <si>
    <t>Travis Kelce</t>
  </si>
  <si>
    <t>Stefon Diggs</t>
  </si>
  <si>
    <t>Jaxon Smith-Njigba</t>
  </si>
  <si>
    <t>Travis Etienne</t>
  </si>
  <si>
    <t>Davante Adams</t>
  </si>
  <si>
    <t>Kenneth Walker</t>
  </si>
  <si>
    <t>DK Metcalf</t>
  </si>
  <si>
    <t>Kyler Murray</t>
  </si>
  <si>
    <t>Austin Ekeler</t>
  </si>
  <si>
    <t>Cooper Kupp</t>
  </si>
  <si>
    <t>C.J. Stroud</t>
  </si>
  <si>
    <t>Josh Jacobs</t>
  </si>
  <si>
    <t>Dak Prescott</t>
  </si>
  <si>
    <t>Najee Harris</t>
  </si>
  <si>
    <t>Tua Tagovailoa</t>
  </si>
  <si>
    <t>Rhamondre Stevenson</t>
  </si>
  <si>
    <t>Daniel Jones</t>
  </si>
  <si>
    <t>Tony Pollard</t>
  </si>
  <si>
    <t>T.J. Hockenson</t>
  </si>
  <si>
    <t>Nick Chubb</t>
  </si>
  <si>
    <t>Jordan Addison</t>
  </si>
  <si>
    <t>Javonte Williams</t>
  </si>
  <si>
    <t>D.J. Moore</t>
  </si>
  <si>
    <t>J.K. Dobbins</t>
  </si>
  <si>
    <t>Michael Pittman</t>
  </si>
  <si>
    <t>Deebo Samuel</t>
  </si>
  <si>
    <t>Christian Watson</t>
  </si>
  <si>
    <t>George Kittle</t>
  </si>
  <si>
    <t>Jahan Dotson</t>
  </si>
  <si>
    <t>Treylon Burks</t>
  </si>
  <si>
    <t>Kenny Pickett</t>
  </si>
  <si>
    <t>Dameon Pierce</t>
  </si>
  <si>
    <t>Jared Goff</t>
  </si>
  <si>
    <t>Derrick Henry</t>
  </si>
  <si>
    <t>D'Andre Swift</t>
  </si>
  <si>
    <t>Chris Godwin</t>
  </si>
  <si>
    <t>Quentin Johnston</t>
  </si>
  <si>
    <t>Jameson Williams</t>
  </si>
  <si>
    <t>Jerry Jeudy</t>
  </si>
  <si>
    <t>Miles Sanders</t>
  </si>
  <si>
    <t>Dalton Kincaid</t>
  </si>
  <si>
    <t>Jordan Love</t>
  </si>
  <si>
    <t>Brandon Aiyuk</t>
  </si>
  <si>
    <t>George Pickens</t>
  </si>
  <si>
    <t>Terry McLaurin</t>
  </si>
  <si>
    <t>Russell Wilson</t>
  </si>
  <si>
    <t>Kirk Cousins</t>
  </si>
  <si>
    <t>Dallas Goedert</t>
  </si>
  <si>
    <t>Zay Flowers</t>
  </si>
  <si>
    <t>Amari Cooper</t>
  </si>
  <si>
    <t>Rachaad White</t>
  </si>
  <si>
    <t>Trey Lance</t>
  </si>
  <si>
    <t>Marquise Brown</t>
  </si>
  <si>
    <t>Diontae Johnson</t>
  </si>
  <si>
    <t>Aaron Rodgers</t>
  </si>
  <si>
    <t>Joe Mixon</t>
  </si>
  <si>
    <t>Zach Charbonnet</t>
  </si>
  <si>
    <t>Dalvin Cook</t>
  </si>
  <si>
    <t>Calvin Ridley</t>
  </si>
  <si>
    <t>Geno Smith</t>
  </si>
  <si>
    <t>Derek Carr</t>
  </si>
  <si>
    <t>Devon Achane</t>
  </si>
  <si>
    <t>Christian Kirk</t>
  </si>
  <si>
    <t>Pat Freiermuth</t>
  </si>
  <si>
    <t>Will Levis</t>
  </si>
  <si>
    <t>Aaron Jones</t>
  </si>
  <si>
    <t>Cam Akers</t>
  </si>
  <si>
    <t>James Cook</t>
  </si>
  <si>
    <t>Brock Purdy</t>
  </si>
  <si>
    <t>Kadarius Toney</t>
  </si>
  <si>
    <t>DeAndre Hopkins</t>
  </si>
  <si>
    <t>Keenan Allen</t>
  </si>
  <si>
    <t>Michael Mayer</t>
  </si>
  <si>
    <t>Mike Evans</t>
  </si>
  <si>
    <t>David Montgomery</t>
  </si>
  <si>
    <t>Alvin Kamara</t>
  </si>
  <si>
    <t>Jonathan Mingo</t>
  </si>
  <si>
    <t>Isiah Pacheco</t>
  </si>
  <si>
    <t>Desmond Ridder</t>
  </si>
  <si>
    <t>Darren Waller</t>
  </si>
  <si>
    <t>Rashod Bateman</t>
  </si>
  <si>
    <t>AJ Dillon</t>
  </si>
  <si>
    <t>Sam LaPorta</t>
  </si>
  <si>
    <t>Alexander Mattison</t>
  </si>
  <si>
    <t>Mike Williams</t>
  </si>
  <si>
    <t>Mac Jones</t>
  </si>
  <si>
    <t>Brian Robinson</t>
  </si>
  <si>
    <t>Kendre Miller</t>
  </si>
  <si>
    <t>Roschon Johnson</t>
  </si>
  <si>
    <t>Sam Howell</t>
  </si>
  <si>
    <t>Jimmy Garoppolo</t>
  </si>
  <si>
    <t>Chigoziem Okonkwo</t>
  </si>
  <si>
    <t>Elijah Moore</t>
  </si>
  <si>
    <t>Courtland Sutton</t>
  </si>
  <si>
    <t>Josh Downs</t>
  </si>
  <si>
    <t>Evan Engram</t>
  </si>
  <si>
    <t>James Conner</t>
  </si>
  <si>
    <t>Tank Bigsby</t>
  </si>
  <si>
    <t>Greg Dulcich</t>
  </si>
  <si>
    <t>Rashee Rice</t>
  </si>
  <si>
    <t>Marvin Mims</t>
  </si>
  <si>
    <t>Antonio Gibson</t>
  </si>
  <si>
    <t>Matthew Stafford</t>
  </si>
  <si>
    <t>Khalil Herbert</t>
  </si>
  <si>
    <t>JuJu Smith-Schuster</t>
  </si>
  <si>
    <t>Tyler Lockett</t>
  </si>
  <si>
    <t>David Njoku</t>
  </si>
  <si>
    <t>Gabriel Davis</t>
  </si>
  <si>
    <t>Hendon Hooker</t>
  </si>
  <si>
    <t>Jayden Reed</t>
  </si>
  <si>
    <t>Brandin Cooks</t>
  </si>
  <si>
    <t>Jalin Hyatt</t>
  </si>
  <si>
    <t>Cole Kmet</t>
  </si>
  <si>
    <t>Tyjae Spears</t>
  </si>
  <si>
    <t>Darnell Mooney</t>
  </si>
  <si>
    <t>Jakobi Meyers</t>
  </si>
  <si>
    <t>Skyy Moore</t>
  </si>
  <si>
    <t>Dalton Schultz</t>
  </si>
  <si>
    <t>John Metchie</t>
  </si>
  <si>
    <t>Wan'Dale Robinson</t>
  </si>
  <si>
    <t>Alec Pierce</t>
  </si>
  <si>
    <t>Jamaal Williams</t>
  </si>
  <si>
    <t>Trey McBride</t>
  </si>
  <si>
    <t>Elijah Mitchell</t>
  </si>
  <si>
    <t>Luke Musgrave</t>
  </si>
  <si>
    <t>Rondale Moore</t>
  </si>
  <si>
    <t>Romeo Doubs</t>
  </si>
  <si>
    <t>Tyler Allgeier</t>
  </si>
  <si>
    <t>Odell Beckham</t>
  </si>
  <si>
    <t>Allen Lazard</t>
  </si>
  <si>
    <t>Michael Thomas</t>
  </si>
  <si>
    <t>Ryan Tannehill</t>
  </si>
  <si>
    <t>Chase Claypool</t>
  </si>
  <si>
    <t>Baker Mayfield</t>
  </si>
  <si>
    <t>Nico Collins</t>
  </si>
  <si>
    <t>Damien Harris</t>
  </si>
  <si>
    <t>Isaiah Likely</t>
  </si>
  <si>
    <t>Rashaad Penny</t>
  </si>
  <si>
    <t>Kayshon Boutte</t>
  </si>
  <si>
    <t>Devin Singletary</t>
  </si>
  <si>
    <t>Chase Brown</t>
  </si>
  <si>
    <t>Cedric Tillman</t>
  </si>
  <si>
    <t>Samaje Perine</t>
  </si>
  <si>
    <t>Tyler Boyd</t>
  </si>
  <si>
    <t>D.J. Chark</t>
  </si>
  <si>
    <t>Israel Abanikanda</t>
  </si>
  <si>
    <t>Irv Smith Jr.</t>
  </si>
  <si>
    <t>Zach Evans</t>
  </si>
  <si>
    <t>Donovan Peoples-Jones</t>
  </si>
  <si>
    <t>D'Onta Foreman</t>
  </si>
  <si>
    <t>Kenneth Gainwell</t>
  </si>
  <si>
    <t>Ezekiel Elliott</t>
  </si>
  <si>
    <t>Adam Thielen</t>
  </si>
  <si>
    <t>Clyde Edwards-Helaire</t>
  </si>
  <si>
    <t>Deuce Vaughn</t>
  </si>
  <si>
    <t>Juwan Johnson</t>
  </si>
  <si>
    <t>Mike Gesicki</t>
  </si>
  <si>
    <t>Dawson Knox</t>
  </si>
  <si>
    <t>Kareem Hunt</t>
  </si>
  <si>
    <t>Michael Gallup</t>
  </si>
  <si>
    <t>Darnell Washington</t>
  </si>
  <si>
    <t>Jelani Woods</t>
  </si>
  <si>
    <t>Noah Fant</t>
  </si>
  <si>
    <t>Rashid Shaheed</t>
  </si>
  <si>
    <t>Hunter Renfrow</t>
  </si>
  <si>
    <t>Tyler Higbee</t>
  </si>
  <si>
    <t>Jaylen Warren</t>
  </si>
  <si>
    <t>Khalil Shakir</t>
  </si>
  <si>
    <t>Cade Otton</t>
  </si>
  <si>
    <t>Curtis Samuel</t>
  </si>
  <si>
    <t>Tyquan Thornton</t>
  </si>
  <si>
    <t>Terrace Marshall</t>
  </si>
  <si>
    <t>Chuba Hubbard</t>
  </si>
  <si>
    <t>Gerald Everett</t>
  </si>
  <si>
    <t>Sean Tucker</t>
  </si>
  <si>
    <t>K.J. Osborn</t>
  </si>
  <si>
    <t>Jerick McKinnon</t>
  </si>
  <si>
    <t>Jerome Ford</t>
  </si>
  <si>
    <t>Daniel Bellinger</t>
  </si>
  <si>
    <t>Isaiah Hodgins</t>
  </si>
  <si>
    <t>DeWayne McBride</t>
  </si>
  <si>
    <t>Zamir White</t>
  </si>
  <si>
    <t>Michael Carter</t>
  </si>
  <si>
    <t>Zay Jones</t>
  </si>
  <si>
    <t>Hayden Hurst</t>
  </si>
  <si>
    <t>Sam Darnold</t>
  </si>
  <si>
    <t>Josh Palmer</t>
  </si>
  <si>
    <t>Xavier Hutchinson</t>
  </si>
  <si>
    <t>Jake Ferguson</t>
  </si>
  <si>
    <t>Tucker Kraft</t>
  </si>
  <si>
    <t>Michael Wilson</t>
  </si>
  <si>
    <t>Isaiah Spiller</t>
  </si>
  <si>
    <t>Jeffery Wilson</t>
  </si>
  <si>
    <t>Gardner Minshew</t>
  </si>
  <si>
    <t>Zach Ertz</t>
  </si>
  <si>
    <t>James Robinson</t>
  </si>
  <si>
    <t>Parris Campbell</t>
  </si>
  <si>
    <t>Van Jefferson</t>
  </si>
  <si>
    <t>Raheem Mostert</t>
  </si>
  <si>
    <t>Leonard Fournette</t>
  </si>
  <si>
    <t>Kyle Trask</t>
  </si>
  <si>
    <t>Mecole Hardman</t>
  </si>
  <si>
    <t>Gus Edwards</t>
  </si>
  <si>
    <t>Zach Wilson</t>
  </si>
  <si>
    <t>Luke Schoonmaker</t>
  </si>
  <si>
    <t>Allen Robinson</t>
  </si>
  <si>
    <t>Jacoby Brissett</t>
  </si>
  <si>
    <t>Bailey Zappe</t>
  </si>
  <si>
    <t>Evan Hull</t>
  </si>
  <si>
    <t>Darius Slayton</t>
  </si>
  <si>
    <t>Eric Gray</t>
  </si>
  <si>
    <t>Keaontay Ingram</t>
  </si>
  <si>
    <t>Tyler Huntley</t>
  </si>
  <si>
    <t>Mike White</t>
  </si>
  <si>
    <t>Stetson Bennett</t>
  </si>
  <si>
    <t>Justyn Ross</t>
  </si>
  <si>
    <t>Marquez Valdes-Scantling</t>
  </si>
  <si>
    <t>Hunter Henry</t>
  </si>
  <si>
    <t>Pierre Strong Jr.</t>
  </si>
  <si>
    <t>Kyren Williams</t>
  </si>
  <si>
    <t>David Bell</t>
  </si>
  <si>
    <t>Malik Willis</t>
  </si>
  <si>
    <t>Taylor Heinicke</t>
  </si>
  <si>
    <t>Tyler Conklin</t>
  </si>
  <si>
    <t>Robert Woods</t>
  </si>
  <si>
    <t>Tyler Scott</t>
  </si>
  <si>
    <t>Foster Moreau</t>
  </si>
  <si>
    <t>A.T. Perry</t>
  </si>
  <si>
    <t>Joshua Kelley</t>
  </si>
  <si>
    <t>Kyle Philips</t>
  </si>
  <si>
    <t>Puka Nacua</t>
  </si>
  <si>
    <t>Corey Davis</t>
  </si>
  <si>
    <t>Trayveon Williams</t>
  </si>
  <si>
    <t>Greg Dortch</t>
  </si>
  <si>
    <t>Zonovan Knight</t>
  </si>
  <si>
    <t>Taysom Hill</t>
  </si>
  <si>
    <t>Davis Mills</t>
  </si>
  <si>
    <t>Laviska Shenault</t>
  </si>
  <si>
    <t>Tim Patrick</t>
  </si>
  <si>
    <t>Malik Davis</t>
  </si>
  <si>
    <t>Cordarrelle Patterson</t>
  </si>
  <si>
    <t>Devin Duvernay</t>
  </si>
  <si>
    <t>Albert Okwuegbunam</t>
  </si>
  <si>
    <t>Noah Gray</t>
  </si>
  <si>
    <t>Jameis Winston</t>
  </si>
  <si>
    <t>Zack Moss</t>
  </si>
  <si>
    <t>Hassan Haskins</t>
  </si>
  <si>
    <t>Brenton Strange</t>
  </si>
  <si>
    <t>Chase Edmonds</t>
  </si>
  <si>
    <t>Ty Chandler</t>
  </si>
  <si>
    <t>Chris Rodriguez</t>
  </si>
  <si>
    <t>Austin Hooper</t>
  </si>
  <si>
    <t>Nyheim Hines</t>
  </si>
  <si>
    <t>Russell Gage</t>
  </si>
  <si>
    <t>Dorian Thompson-Robinson</t>
  </si>
  <si>
    <t>Marcus Mariota</t>
  </si>
  <si>
    <t>Jalen Tolbert</t>
  </si>
  <si>
    <t>Charlie Jones</t>
  </si>
  <si>
    <t>Zack Kuntz</t>
  </si>
  <si>
    <t>Jake Haener</t>
  </si>
  <si>
    <t>Isaiah McKenzie</t>
  </si>
  <si>
    <t>Calvin Austin</t>
  </si>
  <si>
    <t>Jordan Mason</t>
  </si>
  <si>
    <t>Dontayvion Wicks</t>
  </si>
  <si>
    <t>DeVante Parker</t>
  </si>
  <si>
    <t>Jarrett Stidham</t>
  </si>
  <si>
    <t>Clayton Tune</t>
  </si>
  <si>
    <t>Marvin Jones</t>
  </si>
  <si>
    <t>Andy Dalton</t>
  </si>
  <si>
    <t>Latavius Murray</t>
  </si>
  <si>
    <t>Colt McCoy</t>
  </si>
  <si>
    <t>Grayson</t>
  </si>
  <si>
    <t>Jack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</si>
</sst>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303"/>
  <sheetViews>
    <sheetView tabSelected="1" workbookViewId="0">
      <selection activeCell="E8" sqref="E8"/>
    </sheetView>
  </sheetViews>
  <sheetFormatPr defaultRowHeight="15" x14ac:dyDescent="0.25"/>
  <sheetData>
    <row r="1" spans="1:20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</row>
    <row r="2" spans="1:20" x14ac:dyDescent="0.25">
      <c r="A2" t="s">
        <v>14</v>
      </c>
      <c r="B2">
        <v>10000</v>
      </c>
      <c r="C2">
        <v>10000</v>
      </c>
      <c r="D2">
        <v>1</v>
      </c>
      <c r="E2" t="s">
        <v>15</v>
      </c>
      <c r="F2">
        <v>1</v>
      </c>
      <c r="G2">
        <v>10000</v>
      </c>
      <c r="H2">
        <v>9900</v>
      </c>
      <c r="I2">
        <v>1</v>
      </c>
      <c r="J2" t="s">
        <v>16</v>
      </c>
      <c r="K2">
        <v>2017</v>
      </c>
      <c r="L2">
        <v>1</v>
      </c>
      <c r="M2">
        <v>10</v>
      </c>
      <c r="N2" t="s">
        <v>17</v>
      </c>
      <c r="P2" t="s">
        <v>18</v>
      </c>
      <c r="Q2">
        <f>SUMIF(P:P,P2,H:H)</f>
        <v>42839.279999999992</v>
      </c>
      <c r="R2">
        <f>Q2 - $T$5</f>
        <v>1716.4949999999953</v>
      </c>
    </row>
    <row r="3" spans="1:20" x14ac:dyDescent="0.25">
      <c r="A3" t="s">
        <v>19</v>
      </c>
      <c r="B3">
        <v>9480</v>
      </c>
      <c r="C3">
        <v>9461</v>
      </c>
      <c r="D3">
        <v>4</v>
      </c>
      <c r="E3" t="s">
        <v>20</v>
      </c>
      <c r="F3">
        <v>2</v>
      </c>
      <c r="G3">
        <v>9470.5</v>
      </c>
      <c r="H3">
        <v>9372.66</v>
      </c>
      <c r="I3">
        <v>2</v>
      </c>
      <c r="J3">
        <v>-527.34</v>
      </c>
      <c r="K3">
        <v>2020</v>
      </c>
      <c r="L3">
        <v>1</v>
      </c>
      <c r="M3">
        <v>22</v>
      </c>
      <c r="N3" t="s">
        <v>21</v>
      </c>
      <c r="P3" t="s">
        <v>22</v>
      </c>
      <c r="Q3">
        <f t="shared" ref="Q3:Q13" si="0">SUMIF(P:P,P3,H:H)</f>
        <v>42513.24</v>
      </c>
      <c r="R3">
        <f t="shared" ref="R3:R13" si="1">Q3 - $T$5</f>
        <v>1390.4550000000017</v>
      </c>
    </row>
    <row r="4" spans="1:20" x14ac:dyDescent="0.25">
      <c r="A4" t="s">
        <v>23</v>
      </c>
      <c r="B4">
        <v>9895</v>
      </c>
      <c r="C4">
        <v>7715</v>
      </c>
      <c r="D4">
        <v>2</v>
      </c>
      <c r="E4" t="s">
        <v>15</v>
      </c>
      <c r="F4">
        <v>4</v>
      </c>
      <c r="G4">
        <v>8805</v>
      </c>
      <c r="H4">
        <v>8357.25</v>
      </c>
      <c r="I4">
        <v>3</v>
      </c>
      <c r="J4">
        <v>-1015.41</v>
      </c>
      <c r="K4">
        <v>2018</v>
      </c>
      <c r="L4">
        <v>1</v>
      </c>
      <c r="M4">
        <v>7</v>
      </c>
      <c r="N4" t="s">
        <v>24</v>
      </c>
      <c r="P4" t="s">
        <v>25</v>
      </c>
      <c r="Q4">
        <f t="shared" si="0"/>
        <v>41457.57</v>
      </c>
      <c r="R4">
        <f t="shared" si="1"/>
        <v>334.78500000000349</v>
      </c>
    </row>
    <row r="5" spans="1:20" x14ac:dyDescent="0.25">
      <c r="A5" t="s">
        <v>26</v>
      </c>
      <c r="B5">
        <v>9565</v>
      </c>
      <c r="C5">
        <v>7525</v>
      </c>
      <c r="D5">
        <v>3</v>
      </c>
      <c r="E5" t="s">
        <v>15</v>
      </c>
      <c r="F5">
        <v>6</v>
      </c>
      <c r="G5">
        <v>8545</v>
      </c>
      <c r="H5">
        <v>8122.95</v>
      </c>
      <c r="I5">
        <v>4</v>
      </c>
      <c r="J5">
        <v>-234.3</v>
      </c>
      <c r="K5">
        <v>2020</v>
      </c>
      <c r="L5">
        <v>2</v>
      </c>
      <c r="M5">
        <v>53</v>
      </c>
      <c r="N5" t="s">
        <v>27</v>
      </c>
      <c r="P5" t="s">
        <v>28</v>
      </c>
      <c r="Q5">
        <f t="shared" si="0"/>
        <v>41285.31</v>
      </c>
      <c r="R5">
        <f t="shared" si="1"/>
        <v>162.52500000000146</v>
      </c>
      <c r="T5">
        <f>AVERAGE(Q2:Q13)</f>
        <v>41122.784999999996</v>
      </c>
    </row>
    <row r="6" spans="1:20" x14ac:dyDescent="0.25">
      <c r="A6" t="s">
        <v>29</v>
      </c>
      <c r="B6">
        <v>9095</v>
      </c>
      <c r="C6">
        <v>7704</v>
      </c>
      <c r="D6">
        <v>5</v>
      </c>
      <c r="E6" t="s">
        <v>15</v>
      </c>
      <c r="F6">
        <v>5</v>
      </c>
      <c r="G6">
        <v>8399.5</v>
      </c>
      <c r="H6">
        <v>8085.99</v>
      </c>
      <c r="I6">
        <v>5</v>
      </c>
      <c r="J6">
        <v>-36.96</v>
      </c>
      <c r="K6">
        <v>2020</v>
      </c>
      <c r="L6">
        <v>1</v>
      </c>
      <c r="M6">
        <v>1</v>
      </c>
      <c r="N6" t="s">
        <v>30</v>
      </c>
      <c r="P6" t="s">
        <v>342</v>
      </c>
      <c r="Q6">
        <f t="shared" si="0"/>
        <v>38685.9</v>
      </c>
      <c r="R6">
        <f t="shared" si="1"/>
        <v>-2436.8849999999948</v>
      </c>
    </row>
    <row r="7" spans="1:20" x14ac:dyDescent="0.25">
      <c r="A7" t="s">
        <v>31</v>
      </c>
      <c r="B7">
        <v>8365</v>
      </c>
      <c r="C7">
        <v>7716</v>
      </c>
      <c r="D7">
        <v>6</v>
      </c>
      <c r="E7" t="s">
        <v>20</v>
      </c>
      <c r="F7">
        <v>3</v>
      </c>
      <c r="G7">
        <v>8040.5</v>
      </c>
      <c r="H7">
        <v>7853.01</v>
      </c>
      <c r="I7">
        <v>6</v>
      </c>
      <c r="J7">
        <v>-232.98</v>
      </c>
      <c r="K7">
        <v>2021</v>
      </c>
      <c r="L7">
        <v>1</v>
      </c>
      <c r="M7">
        <v>5</v>
      </c>
      <c r="N7" t="s">
        <v>21</v>
      </c>
      <c r="P7" t="s">
        <v>341</v>
      </c>
      <c r="Q7">
        <f>SUMIF(P:P,"Grayson",H:H)</f>
        <v>41457.899999999994</v>
      </c>
      <c r="R7">
        <f t="shared" si="1"/>
        <v>335.11499999999796</v>
      </c>
    </row>
    <row r="8" spans="1:20" x14ac:dyDescent="0.25">
      <c r="A8" t="s">
        <v>32</v>
      </c>
      <c r="B8">
        <v>7652</v>
      </c>
      <c r="C8">
        <v>7055</v>
      </c>
      <c r="D8">
        <v>9</v>
      </c>
      <c r="E8" t="s">
        <v>33</v>
      </c>
      <c r="F8">
        <v>8</v>
      </c>
      <c r="G8">
        <v>7353.5</v>
      </c>
      <c r="H8">
        <v>7181.46</v>
      </c>
      <c r="I8">
        <v>7</v>
      </c>
      <c r="J8">
        <v>-671.55</v>
      </c>
      <c r="K8" t="s">
        <v>16</v>
      </c>
      <c r="L8" t="s">
        <v>16</v>
      </c>
      <c r="M8" t="s">
        <v>16</v>
      </c>
      <c r="N8" t="s">
        <v>34</v>
      </c>
      <c r="P8" t="s">
        <v>35</v>
      </c>
      <c r="Q8">
        <f t="shared" si="0"/>
        <v>43944.450000000004</v>
      </c>
      <c r="R8">
        <f t="shared" si="1"/>
        <v>2821.6650000000081</v>
      </c>
    </row>
    <row r="9" spans="1:20" x14ac:dyDescent="0.25">
      <c r="A9" t="s">
        <v>36</v>
      </c>
      <c r="B9">
        <v>7570</v>
      </c>
      <c r="C9">
        <v>6668</v>
      </c>
      <c r="D9">
        <v>10</v>
      </c>
      <c r="E9" t="s">
        <v>15</v>
      </c>
      <c r="F9">
        <v>9</v>
      </c>
      <c r="G9">
        <v>7119</v>
      </c>
      <c r="H9">
        <v>6898.98</v>
      </c>
      <c r="I9">
        <v>8</v>
      </c>
      <c r="J9">
        <v>-282.48</v>
      </c>
      <c r="K9">
        <v>2018</v>
      </c>
      <c r="L9">
        <v>1</v>
      </c>
      <c r="M9">
        <v>32</v>
      </c>
      <c r="N9" t="s">
        <v>37</v>
      </c>
      <c r="P9" t="s">
        <v>38</v>
      </c>
      <c r="Q9">
        <f t="shared" si="0"/>
        <v>40831.889999999992</v>
      </c>
      <c r="R9">
        <f t="shared" si="1"/>
        <v>-290.89500000000407</v>
      </c>
    </row>
    <row r="10" spans="1:20" x14ac:dyDescent="0.25">
      <c r="A10" t="s">
        <v>39</v>
      </c>
      <c r="B10">
        <v>8018</v>
      </c>
      <c r="C10">
        <v>6040</v>
      </c>
      <c r="D10">
        <v>7</v>
      </c>
      <c r="E10" t="s">
        <v>15</v>
      </c>
      <c r="F10">
        <v>10</v>
      </c>
      <c r="G10">
        <v>7029</v>
      </c>
      <c r="H10">
        <v>6632.34</v>
      </c>
      <c r="I10">
        <v>9</v>
      </c>
      <c r="J10">
        <v>-266.64</v>
      </c>
      <c r="K10">
        <v>2020</v>
      </c>
      <c r="L10">
        <v>1</v>
      </c>
      <c r="M10">
        <v>6</v>
      </c>
      <c r="N10" t="s">
        <v>40</v>
      </c>
      <c r="P10" t="s">
        <v>41</v>
      </c>
      <c r="Q10">
        <f t="shared" si="0"/>
        <v>40557.99</v>
      </c>
      <c r="R10">
        <f t="shared" si="1"/>
        <v>-564.79499999999825</v>
      </c>
    </row>
    <row r="11" spans="1:20" x14ac:dyDescent="0.25">
      <c r="A11" t="s">
        <v>42</v>
      </c>
      <c r="B11">
        <v>7838</v>
      </c>
      <c r="C11">
        <v>5184</v>
      </c>
      <c r="D11">
        <v>8</v>
      </c>
      <c r="E11" t="s">
        <v>15</v>
      </c>
      <c r="F11">
        <v>20</v>
      </c>
      <c r="G11">
        <v>6511</v>
      </c>
      <c r="H11">
        <v>6007.98</v>
      </c>
      <c r="I11">
        <v>10</v>
      </c>
      <c r="J11">
        <v>-624.36</v>
      </c>
      <c r="K11">
        <v>2021</v>
      </c>
      <c r="L11">
        <v>1</v>
      </c>
      <c r="M11">
        <v>1</v>
      </c>
      <c r="N11" t="s">
        <v>43</v>
      </c>
      <c r="P11" t="s">
        <v>44</v>
      </c>
      <c r="Q11">
        <f t="shared" si="0"/>
        <v>39972.239999999998</v>
      </c>
      <c r="R11">
        <f t="shared" si="1"/>
        <v>-1150.5449999999983</v>
      </c>
    </row>
    <row r="12" spans="1:20" x14ac:dyDescent="0.25">
      <c r="A12" t="s">
        <v>45</v>
      </c>
      <c r="B12">
        <v>6672</v>
      </c>
      <c r="C12">
        <v>5659</v>
      </c>
      <c r="D12">
        <v>12</v>
      </c>
      <c r="E12" t="s">
        <v>20</v>
      </c>
      <c r="F12">
        <v>12</v>
      </c>
      <c r="G12">
        <v>6165.5</v>
      </c>
      <c r="H12">
        <v>5936.7</v>
      </c>
      <c r="I12">
        <v>11</v>
      </c>
      <c r="J12">
        <v>-71.28</v>
      </c>
      <c r="K12">
        <v>2020</v>
      </c>
      <c r="L12">
        <v>1</v>
      </c>
      <c r="M12">
        <v>17</v>
      </c>
      <c r="N12" t="s">
        <v>27</v>
      </c>
      <c r="P12" t="s">
        <v>46</v>
      </c>
      <c r="Q12">
        <f t="shared" si="0"/>
        <v>39967.950000000004</v>
      </c>
      <c r="R12">
        <f t="shared" si="1"/>
        <v>-1154.8349999999919</v>
      </c>
    </row>
    <row r="13" spans="1:20" x14ac:dyDescent="0.25">
      <c r="A13" t="s">
        <v>47</v>
      </c>
      <c r="B13">
        <v>6599</v>
      </c>
      <c r="C13">
        <v>5542</v>
      </c>
      <c r="D13">
        <v>13</v>
      </c>
      <c r="E13" t="s">
        <v>20</v>
      </c>
      <c r="F13">
        <v>14</v>
      </c>
      <c r="G13">
        <v>6070.5</v>
      </c>
      <c r="H13">
        <v>5835.39</v>
      </c>
      <c r="I13">
        <v>12</v>
      </c>
      <c r="J13">
        <v>-101.31</v>
      </c>
      <c r="K13">
        <v>2019</v>
      </c>
      <c r="L13">
        <v>2</v>
      </c>
      <c r="M13">
        <v>51</v>
      </c>
      <c r="N13" t="s">
        <v>30</v>
      </c>
      <c r="P13" t="s">
        <v>48</v>
      </c>
      <c r="Q13">
        <f t="shared" si="0"/>
        <v>39959.700000000004</v>
      </c>
      <c r="R13">
        <f t="shared" si="1"/>
        <v>-1163.0849999999919</v>
      </c>
    </row>
    <row r="14" spans="1:20" x14ac:dyDescent="0.25">
      <c r="A14" t="s">
        <v>49</v>
      </c>
      <c r="B14">
        <v>6589</v>
      </c>
      <c r="C14">
        <v>5443</v>
      </c>
      <c r="D14">
        <v>14</v>
      </c>
      <c r="E14" t="s">
        <v>20</v>
      </c>
      <c r="F14">
        <v>16</v>
      </c>
      <c r="G14">
        <v>6016</v>
      </c>
      <c r="H14">
        <v>5766.75</v>
      </c>
      <c r="I14">
        <v>13</v>
      </c>
      <c r="J14">
        <v>-68.64</v>
      </c>
      <c r="K14">
        <v>2022</v>
      </c>
      <c r="L14">
        <v>1</v>
      </c>
      <c r="M14">
        <v>10</v>
      </c>
      <c r="N14" t="s">
        <v>17</v>
      </c>
      <c r="P14" t="s">
        <v>48</v>
      </c>
    </row>
    <row r="15" spans="1:20" x14ac:dyDescent="0.25">
      <c r="A15" t="s">
        <v>50</v>
      </c>
      <c r="B15">
        <v>6141</v>
      </c>
      <c r="C15">
        <v>5648</v>
      </c>
      <c r="D15">
        <v>16</v>
      </c>
      <c r="E15" t="s">
        <v>33</v>
      </c>
      <c r="F15">
        <v>13</v>
      </c>
      <c r="G15">
        <v>5894.5</v>
      </c>
      <c r="H15">
        <v>5754.21</v>
      </c>
      <c r="I15">
        <v>14</v>
      </c>
      <c r="J15">
        <v>-12.54</v>
      </c>
      <c r="K15">
        <v>2022</v>
      </c>
      <c r="L15">
        <v>2</v>
      </c>
      <c r="M15">
        <v>36</v>
      </c>
      <c r="N15" t="s">
        <v>24</v>
      </c>
      <c r="P15" t="s">
        <v>46</v>
      </c>
    </row>
    <row r="16" spans="1:20" x14ac:dyDescent="0.25">
      <c r="A16" t="s">
        <v>51</v>
      </c>
      <c r="B16">
        <v>6727</v>
      </c>
      <c r="C16">
        <v>5326</v>
      </c>
      <c r="D16">
        <v>11</v>
      </c>
      <c r="E16" t="s">
        <v>15</v>
      </c>
      <c r="F16">
        <v>18</v>
      </c>
      <c r="G16">
        <v>6026.5</v>
      </c>
      <c r="H16">
        <v>5735.07</v>
      </c>
      <c r="I16">
        <v>15</v>
      </c>
      <c r="J16">
        <v>-19.14</v>
      </c>
      <c r="K16">
        <v>2021</v>
      </c>
      <c r="L16">
        <v>1</v>
      </c>
      <c r="M16">
        <v>11</v>
      </c>
      <c r="N16" t="s">
        <v>34</v>
      </c>
      <c r="P16" t="s">
        <v>44</v>
      </c>
    </row>
    <row r="17" spans="1:16" x14ac:dyDescent="0.25">
      <c r="A17" t="s">
        <v>52</v>
      </c>
      <c r="B17">
        <v>5817</v>
      </c>
      <c r="C17">
        <v>5538</v>
      </c>
      <c r="D17">
        <v>23</v>
      </c>
      <c r="E17" t="s">
        <v>33</v>
      </c>
      <c r="F17">
        <v>15</v>
      </c>
      <c r="G17">
        <v>5677.5</v>
      </c>
      <c r="H17">
        <v>5574.69</v>
      </c>
      <c r="I17">
        <v>16</v>
      </c>
      <c r="J17">
        <v>-160.38</v>
      </c>
      <c r="K17">
        <v>2017</v>
      </c>
      <c r="L17">
        <v>1</v>
      </c>
      <c r="M17">
        <v>8</v>
      </c>
      <c r="N17" t="s">
        <v>24</v>
      </c>
      <c r="P17" t="s">
        <v>41</v>
      </c>
    </row>
    <row r="18" spans="1:16" x14ac:dyDescent="0.25">
      <c r="A18" t="s">
        <v>53</v>
      </c>
      <c r="B18">
        <v>6102</v>
      </c>
      <c r="C18">
        <v>5381</v>
      </c>
      <c r="D18">
        <v>17</v>
      </c>
      <c r="E18" t="s">
        <v>15</v>
      </c>
      <c r="F18">
        <v>17</v>
      </c>
      <c r="G18">
        <v>5741.5</v>
      </c>
      <c r="H18">
        <v>5565.12</v>
      </c>
      <c r="I18">
        <v>17</v>
      </c>
      <c r="J18">
        <v>-9.57</v>
      </c>
      <c r="K18" t="s">
        <v>16</v>
      </c>
      <c r="L18" t="s">
        <v>16</v>
      </c>
      <c r="M18" t="s">
        <v>16</v>
      </c>
      <c r="N18" t="s">
        <v>21</v>
      </c>
      <c r="P18" t="s">
        <v>38</v>
      </c>
    </row>
    <row r="19" spans="1:16" x14ac:dyDescent="0.25">
      <c r="A19" t="s">
        <v>54</v>
      </c>
      <c r="B19">
        <v>5949</v>
      </c>
      <c r="C19">
        <v>5170</v>
      </c>
      <c r="D19">
        <v>18</v>
      </c>
      <c r="E19" t="s">
        <v>20</v>
      </c>
      <c r="F19">
        <v>22</v>
      </c>
      <c r="G19">
        <v>5559.5</v>
      </c>
      <c r="H19">
        <v>5375.37</v>
      </c>
      <c r="I19">
        <v>18</v>
      </c>
      <c r="J19">
        <v>-189.75</v>
      </c>
      <c r="K19">
        <v>2021</v>
      </c>
      <c r="L19">
        <v>4</v>
      </c>
      <c r="M19">
        <v>112</v>
      </c>
      <c r="N19" t="s">
        <v>55</v>
      </c>
      <c r="P19" t="s">
        <v>342</v>
      </c>
    </row>
    <row r="20" spans="1:16" x14ac:dyDescent="0.25">
      <c r="A20" t="s">
        <v>56</v>
      </c>
      <c r="B20">
        <v>5896</v>
      </c>
      <c r="C20">
        <v>5179</v>
      </c>
      <c r="D20">
        <v>21</v>
      </c>
      <c r="E20" t="s">
        <v>33</v>
      </c>
      <c r="F20">
        <v>21</v>
      </c>
      <c r="G20">
        <v>5537.5</v>
      </c>
      <c r="H20">
        <v>5363.82</v>
      </c>
      <c r="I20">
        <v>19</v>
      </c>
      <c r="J20">
        <v>-11.55</v>
      </c>
      <c r="K20">
        <v>2020</v>
      </c>
      <c r="L20">
        <v>2</v>
      </c>
      <c r="M20">
        <v>41</v>
      </c>
      <c r="N20" t="s">
        <v>55</v>
      </c>
      <c r="P20" t="s">
        <v>341</v>
      </c>
    </row>
    <row r="21" spans="1:16" x14ac:dyDescent="0.25">
      <c r="A21" t="s">
        <v>57</v>
      </c>
      <c r="B21">
        <v>6141</v>
      </c>
      <c r="C21">
        <v>5048</v>
      </c>
      <c r="D21">
        <v>15</v>
      </c>
      <c r="E21" t="s">
        <v>20</v>
      </c>
      <c r="F21">
        <v>23</v>
      </c>
      <c r="G21">
        <v>5594.5</v>
      </c>
      <c r="H21">
        <v>5358.21</v>
      </c>
      <c r="I21">
        <v>20</v>
      </c>
      <c r="J21">
        <v>-5.61</v>
      </c>
      <c r="K21">
        <v>2021</v>
      </c>
      <c r="L21">
        <v>1</v>
      </c>
      <c r="M21">
        <v>6</v>
      </c>
      <c r="N21" t="s">
        <v>37</v>
      </c>
      <c r="P21" t="s">
        <v>342</v>
      </c>
    </row>
    <row r="22" spans="1:16" x14ac:dyDescent="0.25">
      <c r="A22" t="s">
        <v>58</v>
      </c>
      <c r="B22">
        <v>5288</v>
      </c>
      <c r="C22">
        <v>4669</v>
      </c>
      <c r="D22">
        <v>36</v>
      </c>
      <c r="E22" t="s">
        <v>20</v>
      </c>
      <c r="F22">
        <v>24</v>
      </c>
      <c r="G22">
        <v>4978.5</v>
      </c>
      <c r="H22">
        <v>4826.58</v>
      </c>
      <c r="I22">
        <v>21</v>
      </c>
      <c r="J22">
        <v>-531.63</v>
      </c>
      <c r="K22">
        <v>2016</v>
      </c>
      <c r="L22">
        <v>5</v>
      </c>
      <c r="M22">
        <v>165</v>
      </c>
      <c r="N22" t="s">
        <v>40</v>
      </c>
      <c r="P22" t="s">
        <v>28</v>
      </c>
    </row>
    <row r="23" spans="1:16" x14ac:dyDescent="0.25">
      <c r="A23" t="s">
        <v>59</v>
      </c>
      <c r="B23">
        <v>5921</v>
      </c>
      <c r="C23">
        <v>4309</v>
      </c>
      <c r="D23">
        <v>20</v>
      </c>
      <c r="E23" t="s">
        <v>20</v>
      </c>
      <c r="F23">
        <v>29</v>
      </c>
      <c r="G23">
        <v>5115</v>
      </c>
      <c r="H23">
        <v>4797.87</v>
      </c>
      <c r="I23">
        <v>22</v>
      </c>
      <c r="J23">
        <v>-28.71</v>
      </c>
      <c r="K23">
        <v>2022</v>
      </c>
      <c r="L23">
        <v>1</v>
      </c>
      <c r="M23">
        <v>11</v>
      </c>
      <c r="N23" t="s">
        <v>40</v>
      </c>
      <c r="P23" t="s">
        <v>25</v>
      </c>
    </row>
    <row r="24" spans="1:16" x14ac:dyDescent="0.25">
      <c r="A24" t="s">
        <v>60</v>
      </c>
      <c r="B24">
        <v>5245</v>
      </c>
      <c r="C24">
        <v>4572</v>
      </c>
      <c r="D24">
        <v>37</v>
      </c>
      <c r="E24" t="s">
        <v>33</v>
      </c>
      <c r="F24">
        <v>26</v>
      </c>
      <c r="G24">
        <v>4908.5</v>
      </c>
      <c r="H24">
        <v>4748.37</v>
      </c>
      <c r="I24">
        <v>23</v>
      </c>
      <c r="J24">
        <v>-49.5</v>
      </c>
      <c r="K24">
        <v>2018</v>
      </c>
      <c r="L24">
        <v>1</v>
      </c>
      <c r="M24">
        <v>2</v>
      </c>
      <c r="N24" t="s">
        <v>43</v>
      </c>
      <c r="P24" t="s">
        <v>22</v>
      </c>
    </row>
    <row r="25" spans="1:16" x14ac:dyDescent="0.25">
      <c r="A25" t="s">
        <v>61</v>
      </c>
      <c r="B25">
        <v>5611</v>
      </c>
      <c r="C25">
        <v>4258</v>
      </c>
      <c r="D25">
        <v>25</v>
      </c>
      <c r="E25" t="s">
        <v>33</v>
      </c>
      <c r="F25">
        <v>30</v>
      </c>
      <c r="G25">
        <v>4934.5</v>
      </c>
      <c r="H25">
        <v>4661.91</v>
      </c>
      <c r="I25">
        <v>24</v>
      </c>
      <c r="J25">
        <v>-86.46</v>
      </c>
      <c r="K25" t="s">
        <v>16</v>
      </c>
      <c r="L25" t="s">
        <v>16</v>
      </c>
      <c r="M25" t="s">
        <v>16</v>
      </c>
      <c r="N25" t="s">
        <v>43</v>
      </c>
      <c r="P25" t="s">
        <v>18</v>
      </c>
    </row>
    <row r="26" spans="1:16" x14ac:dyDescent="0.25">
      <c r="A26" t="s">
        <v>62</v>
      </c>
      <c r="B26">
        <v>5302</v>
      </c>
      <c r="C26">
        <v>4402</v>
      </c>
      <c r="D26">
        <v>35</v>
      </c>
      <c r="E26" t="s">
        <v>63</v>
      </c>
      <c r="F26">
        <v>27</v>
      </c>
      <c r="G26">
        <v>4852</v>
      </c>
      <c r="H26">
        <v>4654.9799999999996</v>
      </c>
      <c r="I26">
        <v>25</v>
      </c>
      <c r="J26">
        <v>-6.93</v>
      </c>
      <c r="K26">
        <v>2018</v>
      </c>
      <c r="L26">
        <v>3</v>
      </c>
      <c r="M26">
        <v>86</v>
      </c>
      <c r="N26" t="s">
        <v>43</v>
      </c>
      <c r="P26" t="s">
        <v>18</v>
      </c>
    </row>
    <row r="27" spans="1:16" x14ac:dyDescent="0.25">
      <c r="A27" t="s">
        <v>64</v>
      </c>
      <c r="B27">
        <v>5332</v>
      </c>
      <c r="C27">
        <v>4386</v>
      </c>
      <c r="D27">
        <v>32</v>
      </c>
      <c r="E27" t="s">
        <v>15</v>
      </c>
      <c r="F27">
        <v>28</v>
      </c>
      <c r="G27">
        <v>4859</v>
      </c>
      <c r="H27">
        <v>4654.32</v>
      </c>
      <c r="I27">
        <v>26</v>
      </c>
      <c r="J27">
        <v>-0.66</v>
      </c>
      <c r="K27">
        <v>2017</v>
      </c>
      <c r="L27">
        <v>1</v>
      </c>
      <c r="M27">
        <v>12</v>
      </c>
      <c r="N27" t="s">
        <v>30</v>
      </c>
      <c r="P27" t="s">
        <v>22</v>
      </c>
    </row>
    <row r="28" spans="1:16" x14ac:dyDescent="0.25">
      <c r="A28" t="s">
        <v>65</v>
      </c>
      <c r="B28">
        <v>5388</v>
      </c>
      <c r="C28">
        <v>4256</v>
      </c>
      <c r="D28">
        <v>27</v>
      </c>
      <c r="E28" t="s">
        <v>20</v>
      </c>
      <c r="F28">
        <v>31</v>
      </c>
      <c r="G28">
        <v>4822</v>
      </c>
      <c r="H28">
        <v>4587</v>
      </c>
      <c r="I28">
        <v>27</v>
      </c>
      <c r="J28">
        <v>-67.319999999999993</v>
      </c>
      <c r="K28">
        <v>2021</v>
      </c>
      <c r="L28">
        <v>1</v>
      </c>
      <c r="M28">
        <v>10</v>
      </c>
      <c r="N28" t="s">
        <v>17</v>
      </c>
      <c r="P28" t="s">
        <v>25</v>
      </c>
    </row>
    <row r="29" spans="1:16" x14ac:dyDescent="0.25">
      <c r="A29" t="s">
        <v>66</v>
      </c>
      <c r="B29">
        <v>5373</v>
      </c>
      <c r="C29">
        <v>4246</v>
      </c>
      <c r="D29">
        <v>30</v>
      </c>
      <c r="E29" t="s">
        <v>20</v>
      </c>
      <c r="F29">
        <v>32</v>
      </c>
      <c r="G29">
        <v>4809.5</v>
      </c>
      <c r="H29">
        <v>4575.45</v>
      </c>
      <c r="I29">
        <v>28</v>
      </c>
      <c r="J29">
        <v>-11.55</v>
      </c>
      <c r="K29">
        <v>2022</v>
      </c>
      <c r="L29">
        <v>1</v>
      </c>
      <c r="M29">
        <v>8</v>
      </c>
      <c r="N29" t="s">
        <v>27</v>
      </c>
      <c r="P29" t="s">
        <v>28</v>
      </c>
    </row>
    <row r="30" spans="1:16" x14ac:dyDescent="0.25">
      <c r="A30" t="s">
        <v>67</v>
      </c>
      <c r="B30">
        <v>5812</v>
      </c>
      <c r="C30">
        <v>3990</v>
      </c>
      <c r="D30">
        <v>24</v>
      </c>
      <c r="E30" t="s">
        <v>15</v>
      </c>
      <c r="F30">
        <v>39</v>
      </c>
      <c r="G30">
        <v>4901</v>
      </c>
      <c r="H30">
        <v>4551.3599999999997</v>
      </c>
      <c r="I30">
        <v>29</v>
      </c>
      <c r="J30">
        <v>-24.09</v>
      </c>
      <c r="K30" t="s">
        <v>16</v>
      </c>
      <c r="L30" t="s">
        <v>16</v>
      </c>
      <c r="M30" t="s">
        <v>16</v>
      </c>
      <c r="N30" t="s">
        <v>40</v>
      </c>
      <c r="P30" t="s">
        <v>35</v>
      </c>
    </row>
    <row r="31" spans="1:16" x14ac:dyDescent="0.25">
      <c r="A31" t="s">
        <v>68</v>
      </c>
      <c r="B31">
        <v>5375</v>
      </c>
      <c r="C31">
        <v>4174</v>
      </c>
      <c r="D31">
        <v>29</v>
      </c>
      <c r="E31" t="s">
        <v>20</v>
      </c>
      <c r="F31">
        <v>33</v>
      </c>
      <c r="G31">
        <v>4774.5</v>
      </c>
      <c r="H31">
        <v>4528.59</v>
      </c>
      <c r="I31">
        <v>30</v>
      </c>
      <c r="J31">
        <v>-22.77</v>
      </c>
      <c r="K31">
        <v>2020</v>
      </c>
      <c r="L31">
        <v>2</v>
      </c>
      <c r="M31">
        <v>33</v>
      </c>
      <c r="N31" t="s">
        <v>27</v>
      </c>
      <c r="P31" t="s">
        <v>341</v>
      </c>
    </row>
    <row r="32" spans="1:16" x14ac:dyDescent="0.25">
      <c r="A32" t="s">
        <v>69</v>
      </c>
      <c r="B32">
        <v>5377</v>
      </c>
      <c r="C32">
        <v>4144</v>
      </c>
      <c r="D32">
        <v>28</v>
      </c>
      <c r="E32" t="s">
        <v>63</v>
      </c>
      <c r="F32">
        <v>37</v>
      </c>
      <c r="G32">
        <v>4760.5</v>
      </c>
      <c r="H32">
        <v>4509.45</v>
      </c>
      <c r="I32">
        <v>31</v>
      </c>
      <c r="J32">
        <v>-19.14</v>
      </c>
      <c r="K32">
        <v>2021</v>
      </c>
      <c r="L32">
        <v>1</v>
      </c>
      <c r="M32">
        <v>4</v>
      </c>
      <c r="N32" t="s">
        <v>17</v>
      </c>
      <c r="P32" t="s">
        <v>35</v>
      </c>
    </row>
    <row r="33" spans="1:16" x14ac:dyDescent="0.25">
      <c r="A33" t="s">
        <v>70</v>
      </c>
      <c r="B33">
        <v>5204</v>
      </c>
      <c r="C33">
        <v>4157</v>
      </c>
      <c r="D33">
        <v>39</v>
      </c>
      <c r="E33" t="s">
        <v>63</v>
      </c>
      <c r="F33">
        <v>34</v>
      </c>
      <c r="G33">
        <v>4680.5</v>
      </c>
      <c r="H33">
        <v>4460.9399999999996</v>
      </c>
      <c r="I33">
        <v>32</v>
      </c>
      <c r="J33">
        <v>-48.51</v>
      </c>
      <c r="K33">
        <v>2013</v>
      </c>
      <c r="L33">
        <v>3</v>
      </c>
      <c r="M33">
        <v>63</v>
      </c>
      <c r="N33" t="s">
        <v>43</v>
      </c>
      <c r="P33" t="s">
        <v>38</v>
      </c>
    </row>
    <row r="34" spans="1:16" x14ac:dyDescent="0.25">
      <c r="A34" t="s">
        <v>71</v>
      </c>
      <c r="B34">
        <v>5192</v>
      </c>
      <c r="C34">
        <v>4147</v>
      </c>
      <c r="D34">
        <v>40</v>
      </c>
      <c r="E34" t="s">
        <v>20</v>
      </c>
      <c r="F34">
        <v>35</v>
      </c>
      <c r="G34">
        <v>4669.5</v>
      </c>
      <c r="H34">
        <v>4450.38</v>
      </c>
      <c r="I34">
        <v>33</v>
      </c>
      <c r="J34">
        <v>-10.56</v>
      </c>
      <c r="K34">
        <v>2015</v>
      </c>
      <c r="L34">
        <v>5</v>
      </c>
      <c r="M34">
        <v>146</v>
      </c>
      <c r="N34" t="s">
        <v>43</v>
      </c>
      <c r="P34" t="s">
        <v>41</v>
      </c>
    </row>
    <row r="35" spans="1:16" x14ac:dyDescent="0.25">
      <c r="A35" t="s">
        <v>72</v>
      </c>
      <c r="B35">
        <v>5313</v>
      </c>
      <c r="C35">
        <v>3848</v>
      </c>
      <c r="D35">
        <v>34</v>
      </c>
      <c r="E35" t="s">
        <v>20</v>
      </c>
      <c r="F35">
        <v>42</v>
      </c>
      <c r="G35">
        <v>4580.5</v>
      </c>
      <c r="H35">
        <v>4292.97</v>
      </c>
      <c r="I35">
        <v>34</v>
      </c>
      <c r="J35">
        <v>-157.41</v>
      </c>
      <c r="K35" t="s">
        <v>16</v>
      </c>
      <c r="L35" t="s">
        <v>16</v>
      </c>
      <c r="M35" t="s">
        <v>16</v>
      </c>
      <c r="N35" t="s">
        <v>17</v>
      </c>
      <c r="P35" t="s">
        <v>44</v>
      </c>
    </row>
    <row r="36" spans="1:16" x14ac:dyDescent="0.25">
      <c r="A36" t="s">
        <v>73</v>
      </c>
      <c r="B36">
        <v>5150</v>
      </c>
      <c r="C36">
        <v>3883</v>
      </c>
      <c r="D36">
        <v>41</v>
      </c>
      <c r="E36" t="s">
        <v>33</v>
      </c>
      <c r="F36">
        <v>41</v>
      </c>
      <c r="G36">
        <v>4516.5</v>
      </c>
      <c r="H36">
        <v>4262.28</v>
      </c>
      <c r="I36">
        <v>35</v>
      </c>
      <c r="J36">
        <v>-30.69</v>
      </c>
      <c r="K36">
        <v>2021</v>
      </c>
      <c r="L36">
        <v>1</v>
      </c>
      <c r="M36">
        <v>25</v>
      </c>
      <c r="N36" t="s">
        <v>30</v>
      </c>
      <c r="P36" t="s">
        <v>46</v>
      </c>
    </row>
    <row r="37" spans="1:16" x14ac:dyDescent="0.25">
      <c r="A37" t="s">
        <v>74</v>
      </c>
      <c r="B37">
        <v>4660</v>
      </c>
      <c r="C37">
        <v>4118</v>
      </c>
      <c r="D37">
        <v>50</v>
      </c>
      <c r="E37" t="s">
        <v>20</v>
      </c>
      <c r="F37">
        <v>38</v>
      </c>
      <c r="G37">
        <v>4389</v>
      </c>
      <c r="H37">
        <v>4255.68</v>
      </c>
      <c r="I37">
        <v>36</v>
      </c>
      <c r="J37">
        <v>-6.6</v>
      </c>
      <c r="K37">
        <v>2014</v>
      </c>
      <c r="L37">
        <v>2</v>
      </c>
      <c r="M37">
        <v>53</v>
      </c>
      <c r="N37" t="s">
        <v>24</v>
      </c>
      <c r="P37" t="s">
        <v>48</v>
      </c>
    </row>
    <row r="38" spans="1:16" x14ac:dyDescent="0.25">
      <c r="A38" t="s">
        <v>75</v>
      </c>
      <c r="B38">
        <v>5083</v>
      </c>
      <c r="C38">
        <v>3818</v>
      </c>
      <c r="D38">
        <v>42</v>
      </c>
      <c r="E38" t="s">
        <v>33</v>
      </c>
      <c r="F38">
        <v>43</v>
      </c>
      <c r="G38">
        <v>4450.5</v>
      </c>
      <c r="H38">
        <v>4197.2700000000004</v>
      </c>
      <c r="I38">
        <v>37</v>
      </c>
      <c r="J38">
        <v>-58.41</v>
      </c>
      <c r="K38">
        <v>2022</v>
      </c>
      <c r="L38">
        <v>2</v>
      </c>
      <c r="M38">
        <v>41</v>
      </c>
      <c r="N38" t="s">
        <v>37</v>
      </c>
      <c r="P38" t="s">
        <v>48</v>
      </c>
    </row>
    <row r="39" spans="1:16" x14ac:dyDescent="0.25">
      <c r="A39" t="s">
        <v>76</v>
      </c>
      <c r="B39">
        <v>5365</v>
      </c>
      <c r="C39">
        <v>3596</v>
      </c>
      <c r="D39">
        <v>31</v>
      </c>
      <c r="E39" t="s">
        <v>20</v>
      </c>
      <c r="F39">
        <v>46</v>
      </c>
      <c r="G39">
        <v>4480.5</v>
      </c>
      <c r="H39">
        <v>4143.8100000000004</v>
      </c>
      <c r="I39">
        <v>38</v>
      </c>
      <c r="J39">
        <v>-53.46</v>
      </c>
      <c r="K39">
        <v>2019</v>
      </c>
      <c r="L39">
        <v>2</v>
      </c>
      <c r="M39">
        <v>64</v>
      </c>
      <c r="N39" t="s">
        <v>55</v>
      </c>
      <c r="P39" t="s">
        <v>46</v>
      </c>
    </row>
    <row r="40" spans="1:16" x14ac:dyDescent="0.25">
      <c r="A40" t="s">
        <v>77</v>
      </c>
      <c r="B40">
        <v>5326</v>
      </c>
      <c r="C40">
        <v>3569</v>
      </c>
      <c r="D40">
        <v>33</v>
      </c>
      <c r="E40" t="s">
        <v>15</v>
      </c>
      <c r="F40">
        <v>47</v>
      </c>
      <c r="G40">
        <v>4447.5</v>
      </c>
      <c r="H40">
        <v>4113.12</v>
      </c>
      <c r="I40">
        <v>39</v>
      </c>
      <c r="J40">
        <v>-30.69</v>
      </c>
      <c r="K40">
        <v>2019</v>
      </c>
      <c r="L40">
        <v>1</v>
      </c>
      <c r="M40">
        <v>1</v>
      </c>
      <c r="N40" t="s">
        <v>21</v>
      </c>
      <c r="P40" t="s">
        <v>44</v>
      </c>
    </row>
    <row r="41" spans="1:16" x14ac:dyDescent="0.25">
      <c r="A41" t="s">
        <v>78</v>
      </c>
      <c r="B41">
        <v>4622</v>
      </c>
      <c r="C41">
        <v>3888</v>
      </c>
      <c r="D41">
        <v>53</v>
      </c>
      <c r="E41" t="s">
        <v>33</v>
      </c>
      <c r="F41">
        <v>40</v>
      </c>
      <c r="G41">
        <v>4255</v>
      </c>
      <c r="H41">
        <v>4091.34</v>
      </c>
      <c r="I41">
        <v>40</v>
      </c>
      <c r="J41">
        <v>-21.78</v>
      </c>
      <c r="K41" t="s">
        <v>16</v>
      </c>
      <c r="L41" t="s">
        <v>16</v>
      </c>
      <c r="M41" t="s">
        <v>16</v>
      </c>
      <c r="N41" t="s">
        <v>37</v>
      </c>
      <c r="P41" t="s">
        <v>41</v>
      </c>
    </row>
    <row r="42" spans="1:16" x14ac:dyDescent="0.25">
      <c r="A42" t="s">
        <v>79</v>
      </c>
      <c r="B42">
        <v>4800</v>
      </c>
      <c r="C42">
        <v>3734</v>
      </c>
      <c r="D42">
        <v>44</v>
      </c>
      <c r="E42" t="s">
        <v>20</v>
      </c>
      <c r="F42">
        <v>45</v>
      </c>
      <c r="G42">
        <v>4267</v>
      </c>
      <c r="H42">
        <v>4048.44</v>
      </c>
      <c r="I42">
        <v>41</v>
      </c>
      <c r="J42">
        <v>-42.9</v>
      </c>
      <c r="K42">
        <v>2017</v>
      </c>
      <c r="L42">
        <v>3</v>
      </c>
      <c r="M42">
        <v>69</v>
      </c>
      <c r="N42" t="s">
        <v>24</v>
      </c>
      <c r="P42" t="s">
        <v>38</v>
      </c>
    </row>
    <row r="43" spans="1:16" x14ac:dyDescent="0.25">
      <c r="A43" t="s">
        <v>80</v>
      </c>
      <c r="B43">
        <v>5425</v>
      </c>
      <c r="C43">
        <v>3392</v>
      </c>
      <c r="D43">
        <v>26</v>
      </c>
      <c r="E43" t="s">
        <v>15</v>
      </c>
      <c r="F43">
        <v>49</v>
      </c>
      <c r="G43">
        <v>4408.5</v>
      </c>
      <c r="H43">
        <v>4028.97</v>
      </c>
      <c r="I43">
        <v>42</v>
      </c>
      <c r="J43">
        <v>-19.47</v>
      </c>
      <c r="K43" t="s">
        <v>16</v>
      </c>
      <c r="L43" t="s">
        <v>16</v>
      </c>
      <c r="M43" t="s">
        <v>16</v>
      </c>
      <c r="N43" t="s">
        <v>34</v>
      </c>
      <c r="P43" t="s">
        <v>35</v>
      </c>
    </row>
    <row r="44" spans="1:16" x14ac:dyDescent="0.25">
      <c r="A44" t="s">
        <v>81</v>
      </c>
      <c r="B44">
        <v>4780</v>
      </c>
      <c r="C44">
        <v>3484</v>
      </c>
      <c r="D44">
        <v>45</v>
      </c>
      <c r="E44" t="s">
        <v>33</v>
      </c>
      <c r="F44">
        <v>48</v>
      </c>
      <c r="G44">
        <v>4132</v>
      </c>
      <c r="H44">
        <v>3876.84</v>
      </c>
      <c r="I44">
        <v>43</v>
      </c>
      <c r="J44">
        <v>-152.13</v>
      </c>
      <c r="K44">
        <v>2019</v>
      </c>
      <c r="L44">
        <v>1</v>
      </c>
      <c r="M44">
        <v>24</v>
      </c>
      <c r="N44" t="s">
        <v>40</v>
      </c>
      <c r="P44" t="s">
        <v>341</v>
      </c>
    </row>
    <row r="45" spans="1:16" x14ac:dyDescent="0.25">
      <c r="A45" t="s">
        <v>82</v>
      </c>
      <c r="B45">
        <v>5242</v>
      </c>
      <c r="C45">
        <v>3148</v>
      </c>
      <c r="D45">
        <v>38</v>
      </c>
      <c r="E45" t="s">
        <v>15</v>
      </c>
      <c r="F45">
        <v>54</v>
      </c>
      <c r="G45">
        <v>4195</v>
      </c>
      <c r="H45">
        <v>3807.54</v>
      </c>
      <c r="I45">
        <v>44</v>
      </c>
      <c r="J45">
        <v>-69.3</v>
      </c>
      <c r="K45">
        <v>2016</v>
      </c>
      <c r="L45">
        <v>4</v>
      </c>
      <c r="M45">
        <v>135</v>
      </c>
      <c r="N45" t="s">
        <v>37</v>
      </c>
      <c r="P45" t="s">
        <v>342</v>
      </c>
    </row>
    <row r="46" spans="1:16" x14ac:dyDescent="0.25">
      <c r="A46" t="s">
        <v>83</v>
      </c>
      <c r="B46">
        <v>4657</v>
      </c>
      <c r="C46">
        <v>3332</v>
      </c>
      <c r="D46">
        <v>51</v>
      </c>
      <c r="E46" t="s">
        <v>33</v>
      </c>
      <c r="F46">
        <v>50</v>
      </c>
      <c r="G46">
        <v>3994.5</v>
      </c>
      <c r="H46">
        <v>3735.93</v>
      </c>
      <c r="I46">
        <v>45</v>
      </c>
      <c r="J46">
        <v>-71.61</v>
      </c>
      <c r="K46">
        <v>2021</v>
      </c>
      <c r="L46">
        <v>1</v>
      </c>
      <c r="M46">
        <v>24</v>
      </c>
      <c r="N46" t="s">
        <v>21</v>
      </c>
      <c r="P46" t="s">
        <v>28</v>
      </c>
    </row>
    <row r="47" spans="1:16" x14ac:dyDescent="0.25">
      <c r="A47" t="s">
        <v>84</v>
      </c>
      <c r="B47">
        <v>4802</v>
      </c>
      <c r="C47">
        <v>3168</v>
      </c>
      <c r="D47">
        <v>43</v>
      </c>
      <c r="E47" t="s">
        <v>15</v>
      </c>
      <c r="F47">
        <v>52</v>
      </c>
      <c r="G47">
        <v>3985</v>
      </c>
      <c r="H47">
        <v>3675.54</v>
      </c>
      <c r="I47">
        <v>46</v>
      </c>
      <c r="J47">
        <v>-60.39</v>
      </c>
      <c r="K47">
        <v>2020</v>
      </c>
      <c r="L47">
        <v>1</v>
      </c>
      <c r="M47">
        <v>5</v>
      </c>
      <c r="N47" t="s">
        <v>55</v>
      </c>
      <c r="P47" t="s">
        <v>25</v>
      </c>
    </row>
    <row r="48" spans="1:16" x14ac:dyDescent="0.25">
      <c r="A48" t="s">
        <v>85</v>
      </c>
      <c r="B48">
        <v>4576</v>
      </c>
      <c r="C48">
        <v>3262</v>
      </c>
      <c r="D48">
        <v>55</v>
      </c>
      <c r="E48" t="s">
        <v>33</v>
      </c>
      <c r="F48">
        <v>51</v>
      </c>
      <c r="G48">
        <v>3919</v>
      </c>
      <c r="H48">
        <v>3663</v>
      </c>
      <c r="I48">
        <v>47</v>
      </c>
      <c r="J48">
        <v>-12.54</v>
      </c>
      <c r="K48">
        <v>2021</v>
      </c>
      <c r="L48">
        <v>4</v>
      </c>
      <c r="M48">
        <v>120</v>
      </c>
      <c r="N48" t="s">
        <v>27</v>
      </c>
      <c r="P48" t="s">
        <v>22</v>
      </c>
    </row>
    <row r="49" spans="1:16" x14ac:dyDescent="0.25">
      <c r="A49" t="s">
        <v>86</v>
      </c>
      <c r="B49">
        <v>4593</v>
      </c>
      <c r="C49">
        <v>3045</v>
      </c>
      <c r="D49">
        <v>54</v>
      </c>
      <c r="E49" t="s">
        <v>15</v>
      </c>
      <c r="F49">
        <v>57</v>
      </c>
      <c r="G49">
        <v>3819</v>
      </c>
      <c r="H49">
        <v>3525.39</v>
      </c>
      <c r="I49">
        <v>48</v>
      </c>
      <c r="J49">
        <v>-137.61000000000001</v>
      </c>
      <c r="K49">
        <v>2019</v>
      </c>
      <c r="L49">
        <v>1</v>
      </c>
      <c r="M49">
        <v>6</v>
      </c>
      <c r="N49" t="s">
        <v>17</v>
      </c>
      <c r="P49" t="s">
        <v>18</v>
      </c>
    </row>
    <row r="50" spans="1:16" x14ac:dyDescent="0.25">
      <c r="A50" t="s">
        <v>87</v>
      </c>
      <c r="B50">
        <v>4712</v>
      </c>
      <c r="C50">
        <v>2968</v>
      </c>
      <c r="D50">
        <v>46</v>
      </c>
      <c r="E50" t="s">
        <v>33</v>
      </c>
      <c r="F50">
        <v>60</v>
      </c>
      <c r="G50">
        <v>3840</v>
      </c>
      <c r="H50">
        <v>3513.84</v>
      </c>
      <c r="I50">
        <v>49</v>
      </c>
      <c r="J50">
        <v>-11.55</v>
      </c>
      <c r="K50">
        <v>2019</v>
      </c>
      <c r="L50">
        <v>4</v>
      </c>
      <c r="M50">
        <v>128</v>
      </c>
      <c r="N50" t="s">
        <v>24</v>
      </c>
      <c r="P50" t="s">
        <v>18</v>
      </c>
    </row>
    <row r="51" spans="1:16" x14ac:dyDescent="0.25">
      <c r="A51" t="s">
        <v>88</v>
      </c>
      <c r="B51">
        <v>4540</v>
      </c>
      <c r="C51">
        <v>3051</v>
      </c>
      <c r="D51">
        <v>57</v>
      </c>
      <c r="E51" t="s">
        <v>63</v>
      </c>
      <c r="F51">
        <v>56</v>
      </c>
      <c r="G51">
        <v>3795.5</v>
      </c>
      <c r="H51">
        <v>3511.86</v>
      </c>
      <c r="I51">
        <v>50</v>
      </c>
      <c r="J51">
        <v>-1.98</v>
      </c>
      <c r="K51">
        <v>2019</v>
      </c>
      <c r="L51">
        <v>1</v>
      </c>
      <c r="M51">
        <v>8</v>
      </c>
      <c r="N51" t="s">
        <v>30</v>
      </c>
      <c r="P51" t="s">
        <v>22</v>
      </c>
    </row>
    <row r="52" spans="1:16" x14ac:dyDescent="0.25">
      <c r="A52" t="s">
        <v>89</v>
      </c>
      <c r="B52">
        <v>4373</v>
      </c>
      <c r="C52">
        <v>3118</v>
      </c>
      <c r="D52">
        <v>60</v>
      </c>
      <c r="E52" t="s">
        <v>33</v>
      </c>
      <c r="F52">
        <v>55</v>
      </c>
      <c r="G52">
        <v>3745.5</v>
      </c>
      <c r="H52">
        <v>3500.97</v>
      </c>
      <c r="I52">
        <v>51</v>
      </c>
      <c r="J52">
        <v>-10.89</v>
      </c>
      <c r="K52">
        <v>2018</v>
      </c>
      <c r="L52">
        <v>2</v>
      </c>
      <c r="M52">
        <v>35</v>
      </c>
      <c r="N52" t="s">
        <v>34</v>
      </c>
      <c r="P52" t="s">
        <v>25</v>
      </c>
    </row>
    <row r="53" spans="1:16" x14ac:dyDescent="0.25">
      <c r="A53" t="s">
        <v>90</v>
      </c>
      <c r="B53">
        <v>4645</v>
      </c>
      <c r="C53">
        <v>2963</v>
      </c>
      <c r="D53">
        <v>52</v>
      </c>
      <c r="E53" t="s">
        <v>20</v>
      </c>
      <c r="F53">
        <v>61</v>
      </c>
      <c r="G53">
        <v>3804</v>
      </c>
      <c r="H53">
        <v>3488.43</v>
      </c>
      <c r="I53">
        <v>52</v>
      </c>
      <c r="J53">
        <v>-12.54</v>
      </c>
      <c r="K53" t="s">
        <v>16</v>
      </c>
      <c r="L53" t="s">
        <v>16</v>
      </c>
      <c r="M53" t="s">
        <v>16</v>
      </c>
      <c r="N53" t="s">
        <v>21</v>
      </c>
      <c r="P53" t="s">
        <v>28</v>
      </c>
    </row>
    <row r="54" spans="1:16" x14ac:dyDescent="0.25">
      <c r="A54" t="s">
        <v>91</v>
      </c>
      <c r="B54">
        <v>4447</v>
      </c>
      <c r="C54">
        <v>2979</v>
      </c>
      <c r="D54">
        <v>58</v>
      </c>
      <c r="E54" t="s">
        <v>33</v>
      </c>
      <c r="F54">
        <v>59</v>
      </c>
      <c r="G54">
        <v>3713</v>
      </c>
      <c r="H54">
        <v>3433.65</v>
      </c>
      <c r="I54">
        <v>53</v>
      </c>
      <c r="J54">
        <v>-54.78</v>
      </c>
      <c r="K54">
        <v>2021</v>
      </c>
      <c r="L54">
        <v>2</v>
      </c>
      <c r="M54">
        <v>35</v>
      </c>
      <c r="N54" t="s">
        <v>55</v>
      </c>
      <c r="P54" t="s">
        <v>342</v>
      </c>
    </row>
    <row r="55" spans="1:16" x14ac:dyDescent="0.25">
      <c r="A55" t="s">
        <v>92</v>
      </c>
      <c r="B55">
        <v>4394</v>
      </c>
      <c r="C55">
        <v>2856</v>
      </c>
      <c r="D55">
        <v>59</v>
      </c>
      <c r="E55" t="s">
        <v>20</v>
      </c>
      <c r="F55">
        <v>64</v>
      </c>
      <c r="G55">
        <v>3625</v>
      </c>
      <c r="H55">
        <v>3334.98</v>
      </c>
      <c r="I55">
        <v>54</v>
      </c>
      <c r="J55">
        <v>-98.67</v>
      </c>
      <c r="K55">
        <v>2018</v>
      </c>
      <c r="L55">
        <v>1</v>
      </c>
      <c r="M55">
        <v>24</v>
      </c>
      <c r="N55" t="s">
        <v>24</v>
      </c>
      <c r="P55" t="s">
        <v>341</v>
      </c>
    </row>
    <row r="56" spans="1:16" x14ac:dyDescent="0.25">
      <c r="A56" t="s">
        <v>93</v>
      </c>
      <c r="B56">
        <v>4216</v>
      </c>
      <c r="C56">
        <v>2935</v>
      </c>
      <c r="D56">
        <v>72</v>
      </c>
      <c r="E56" t="s">
        <v>33</v>
      </c>
      <c r="F56">
        <v>62</v>
      </c>
      <c r="G56">
        <v>3575.5</v>
      </c>
      <c r="H56">
        <v>3328.38</v>
      </c>
      <c r="I56">
        <v>55</v>
      </c>
      <c r="J56">
        <v>-6.6</v>
      </c>
      <c r="K56">
        <v>2020</v>
      </c>
      <c r="L56">
        <v>2</v>
      </c>
      <c r="M56">
        <v>55</v>
      </c>
      <c r="N56" t="s">
        <v>17</v>
      </c>
      <c r="P56" t="s">
        <v>35</v>
      </c>
    </row>
    <row r="57" spans="1:16" x14ac:dyDescent="0.25">
      <c r="A57" t="s">
        <v>94</v>
      </c>
      <c r="B57">
        <v>4318</v>
      </c>
      <c r="C57">
        <v>2866</v>
      </c>
      <c r="D57">
        <v>61</v>
      </c>
      <c r="E57" t="s">
        <v>20</v>
      </c>
      <c r="F57">
        <v>63</v>
      </c>
      <c r="G57">
        <v>3592</v>
      </c>
      <c r="H57">
        <v>3316.5</v>
      </c>
      <c r="I57">
        <v>56</v>
      </c>
      <c r="J57">
        <v>-11.88</v>
      </c>
      <c r="K57">
        <v>2020</v>
      </c>
      <c r="L57">
        <v>2</v>
      </c>
      <c r="M57">
        <v>34</v>
      </c>
      <c r="N57" t="s">
        <v>40</v>
      </c>
      <c r="P57" t="s">
        <v>38</v>
      </c>
    </row>
    <row r="58" spans="1:16" x14ac:dyDescent="0.25">
      <c r="A58" t="s">
        <v>95</v>
      </c>
      <c r="B58">
        <v>4291</v>
      </c>
      <c r="C58">
        <v>2786</v>
      </c>
      <c r="D58">
        <v>64</v>
      </c>
      <c r="E58" t="s">
        <v>20</v>
      </c>
      <c r="F58">
        <v>66</v>
      </c>
      <c r="G58">
        <v>3538.5</v>
      </c>
      <c r="H58">
        <v>3254.79</v>
      </c>
      <c r="I58">
        <v>57</v>
      </c>
      <c r="J58">
        <v>-61.71</v>
      </c>
      <c r="K58">
        <v>2019</v>
      </c>
      <c r="L58">
        <v>2</v>
      </c>
      <c r="M58">
        <v>36</v>
      </c>
      <c r="N58" t="s">
        <v>37</v>
      </c>
      <c r="P58" t="s">
        <v>41</v>
      </c>
    </row>
    <row r="59" spans="1:16" x14ac:dyDescent="0.25">
      <c r="A59" t="s">
        <v>96</v>
      </c>
      <c r="B59">
        <v>4555</v>
      </c>
      <c r="C59">
        <v>2653</v>
      </c>
      <c r="D59">
        <v>56</v>
      </c>
      <c r="E59" t="s">
        <v>20</v>
      </c>
      <c r="F59">
        <v>76</v>
      </c>
      <c r="G59">
        <v>3604</v>
      </c>
      <c r="H59">
        <v>3254.13</v>
      </c>
      <c r="I59">
        <v>58</v>
      </c>
      <c r="J59">
        <v>-0.66</v>
      </c>
      <c r="K59">
        <v>2022</v>
      </c>
      <c r="L59">
        <v>2</v>
      </c>
      <c r="M59">
        <v>34</v>
      </c>
      <c r="N59" t="s">
        <v>30</v>
      </c>
      <c r="P59" t="s">
        <v>44</v>
      </c>
    </row>
    <row r="60" spans="1:16" x14ac:dyDescent="0.25">
      <c r="A60" t="s">
        <v>97</v>
      </c>
      <c r="B60">
        <v>4200</v>
      </c>
      <c r="C60">
        <v>2812</v>
      </c>
      <c r="D60">
        <v>73</v>
      </c>
      <c r="E60" t="s">
        <v>63</v>
      </c>
      <c r="F60">
        <v>65</v>
      </c>
      <c r="G60">
        <v>3506</v>
      </c>
      <c r="H60">
        <v>3241.92</v>
      </c>
      <c r="I60">
        <v>59</v>
      </c>
      <c r="J60">
        <v>-12.21</v>
      </c>
      <c r="K60">
        <v>2017</v>
      </c>
      <c r="L60">
        <v>5</v>
      </c>
      <c r="M60">
        <v>146</v>
      </c>
      <c r="N60" t="s">
        <v>37</v>
      </c>
      <c r="P60" t="s">
        <v>46</v>
      </c>
    </row>
    <row r="61" spans="1:16" x14ac:dyDescent="0.25">
      <c r="A61" t="s">
        <v>98</v>
      </c>
      <c r="B61">
        <v>4291</v>
      </c>
      <c r="C61">
        <v>2739</v>
      </c>
      <c r="D61">
        <v>65</v>
      </c>
      <c r="E61" t="s">
        <v>20</v>
      </c>
      <c r="F61">
        <v>68</v>
      </c>
      <c r="G61">
        <v>3515</v>
      </c>
      <c r="H61">
        <v>3223.77</v>
      </c>
      <c r="I61">
        <v>60</v>
      </c>
      <c r="J61">
        <v>-18.149999999999999</v>
      </c>
      <c r="K61">
        <v>2022</v>
      </c>
      <c r="L61">
        <v>1</v>
      </c>
      <c r="M61">
        <v>16</v>
      </c>
      <c r="N61" t="s">
        <v>30</v>
      </c>
      <c r="P61" t="s">
        <v>48</v>
      </c>
    </row>
    <row r="62" spans="1:16" x14ac:dyDescent="0.25">
      <c r="A62" t="s">
        <v>99</v>
      </c>
      <c r="B62">
        <v>4307</v>
      </c>
      <c r="C62">
        <v>2705</v>
      </c>
      <c r="D62">
        <v>63</v>
      </c>
      <c r="E62" t="s">
        <v>20</v>
      </c>
      <c r="F62">
        <v>71</v>
      </c>
      <c r="G62">
        <v>3506</v>
      </c>
      <c r="H62">
        <v>3206.61</v>
      </c>
      <c r="I62">
        <v>61</v>
      </c>
      <c r="J62">
        <v>-17.16</v>
      </c>
      <c r="K62">
        <v>2022</v>
      </c>
      <c r="L62">
        <v>1</v>
      </c>
      <c r="M62">
        <v>18</v>
      </c>
      <c r="N62" t="s">
        <v>30</v>
      </c>
      <c r="P62" t="s">
        <v>48</v>
      </c>
    </row>
    <row r="63" spans="1:16" x14ac:dyDescent="0.25">
      <c r="A63" t="s">
        <v>100</v>
      </c>
      <c r="B63">
        <v>4235</v>
      </c>
      <c r="C63">
        <v>2673</v>
      </c>
      <c r="D63">
        <v>69</v>
      </c>
      <c r="E63" t="s">
        <v>15</v>
      </c>
      <c r="F63">
        <v>73</v>
      </c>
      <c r="G63">
        <v>3454</v>
      </c>
      <c r="H63">
        <v>3161.73</v>
      </c>
      <c r="I63">
        <v>62</v>
      </c>
      <c r="J63">
        <v>-44.88</v>
      </c>
      <c r="K63">
        <v>2022</v>
      </c>
      <c r="L63">
        <v>1</v>
      </c>
      <c r="M63">
        <v>20</v>
      </c>
      <c r="N63" t="s">
        <v>17</v>
      </c>
      <c r="P63" t="s">
        <v>46</v>
      </c>
    </row>
    <row r="64" spans="1:16" x14ac:dyDescent="0.25">
      <c r="A64" t="s">
        <v>101</v>
      </c>
      <c r="B64">
        <v>4162</v>
      </c>
      <c r="C64">
        <v>2650</v>
      </c>
      <c r="D64">
        <v>78</v>
      </c>
      <c r="E64" t="s">
        <v>33</v>
      </c>
      <c r="F64">
        <v>77</v>
      </c>
      <c r="G64">
        <v>3406</v>
      </c>
      <c r="H64">
        <v>3122.46</v>
      </c>
      <c r="I64">
        <v>63</v>
      </c>
      <c r="J64">
        <v>-39.270000000000003</v>
      </c>
      <c r="K64">
        <v>2022</v>
      </c>
      <c r="L64">
        <v>4</v>
      </c>
      <c r="M64">
        <v>107</v>
      </c>
      <c r="N64" t="s">
        <v>24</v>
      </c>
      <c r="P64" t="s">
        <v>44</v>
      </c>
    </row>
    <row r="65" spans="1:16" x14ac:dyDescent="0.25">
      <c r="A65" t="s">
        <v>102</v>
      </c>
      <c r="B65">
        <v>3989</v>
      </c>
      <c r="C65">
        <v>2728</v>
      </c>
      <c r="D65">
        <v>83</v>
      </c>
      <c r="E65" t="s">
        <v>15</v>
      </c>
      <c r="F65">
        <v>69</v>
      </c>
      <c r="G65">
        <v>3358.5</v>
      </c>
      <c r="H65">
        <v>3116.85</v>
      </c>
      <c r="I65">
        <v>64</v>
      </c>
      <c r="J65">
        <v>-5.61</v>
      </c>
      <c r="K65">
        <v>2016</v>
      </c>
      <c r="L65">
        <v>1</v>
      </c>
      <c r="M65">
        <v>1</v>
      </c>
      <c r="N65" t="s">
        <v>27</v>
      </c>
      <c r="P65" t="s">
        <v>41</v>
      </c>
    </row>
    <row r="66" spans="1:16" x14ac:dyDescent="0.25">
      <c r="A66" t="s">
        <v>103</v>
      </c>
      <c r="B66">
        <v>3894</v>
      </c>
      <c r="C66">
        <v>2775</v>
      </c>
      <c r="D66">
        <v>90</v>
      </c>
      <c r="E66" t="s">
        <v>33</v>
      </c>
      <c r="F66">
        <v>67</v>
      </c>
      <c r="G66">
        <v>3334.5</v>
      </c>
      <c r="H66">
        <v>3116.52</v>
      </c>
      <c r="I66">
        <v>65</v>
      </c>
      <c r="J66">
        <v>-0.33</v>
      </c>
      <c r="K66">
        <v>2016</v>
      </c>
      <c r="L66">
        <v>2</v>
      </c>
      <c r="M66">
        <v>45</v>
      </c>
      <c r="N66" t="s">
        <v>30</v>
      </c>
      <c r="P66" t="s">
        <v>38</v>
      </c>
    </row>
    <row r="67" spans="1:16" x14ac:dyDescent="0.25">
      <c r="A67" t="s">
        <v>104</v>
      </c>
      <c r="B67">
        <v>4019</v>
      </c>
      <c r="C67">
        <v>2696</v>
      </c>
      <c r="D67">
        <v>82</v>
      </c>
      <c r="E67" t="s">
        <v>33</v>
      </c>
      <c r="F67">
        <v>72</v>
      </c>
      <c r="G67">
        <v>3357.5</v>
      </c>
      <c r="H67">
        <v>3105.63</v>
      </c>
      <c r="I67">
        <v>66</v>
      </c>
      <c r="J67">
        <v>-10.89</v>
      </c>
      <c r="K67">
        <v>2020</v>
      </c>
      <c r="L67">
        <v>2</v>
      </c>
      <c r="M67">
        <v>35</v>
      </c>
      <c r="N67" t="s">
        <v>34</v>
      </c>
      <c r="P67" t="s">
        <v>35</v>
      </c>
    </row>
    <row r="68" spans="1:16" x14ac:dyDescent="0.25">
      <c r="A68" t="s">
        <v>105</v>
      </c>
      <c r="B68">
        <v>4047</v>
      </c>
      <c r="C68">
        <v>2666</v>
      </c>
      <c r="D68">
        <v>81</v>
      </c>
      <c r="E68" t="s">
        <v>20</v>
      </c>
      <c r="F68">
        <v>74</v>
      </c>
      <c r="G68">
        <v>3356.5</v>
      </c>
      <c r="H68">
        <v>3095.07</v>
      </c>
      <c r="I68">
        <v>67</v>
      </c>
      <c r="J68">
        <v>-10.56</v>
      </c>
      <c r="K68">
        <v>2017</v>
      </c>
      <c r="L68">
        <v>3</v>
      </c>
      <c r="M68">
        <v>84</v>
      </c>
      <c r="N68" t="s">
        <v>24</v>
      </c>
      <c r="P68" t="s">
        <v>341</v>
      </c>
    </row>
    <row r="69" spans="1:16" x14ac:dyDescent="0.25">
      <c r="A69" t="s">
        <v>106</v>
      </c>
      <c r="B69">
        <v>4253</v>
      </c>
      <c r="C69">
        <v>2500</v>
      </c>
      <c r="D69">
        <v>66</v>
      </c>
      <c r="E69" t="s">
        <v>20</v>
      </c>
      <c r="F69">
        <v>83</v>
      </c>
      <c r="G69">
        <v>3376.5</v>
      </c>
      <c r="H69">
        <v>3053.49</v>
      </c>
      <c r="I69">
        <v>68</v>
      </c>
      <c r="J69">
        <v>-41.58</v>
      </c>
      <c r="K69" t="s">
        <v>16</v>
      </c>
      <c r="L69" t="s">
        <v>16</v>
      </c>
      <c r="M69" t="s">
        <v>16</v>
      </c>
      <c r="N69" t="s">
        <v>34</v>
      </c>
      <c r="P69" t="s">
        <v>35</v>
      </c>
    </row>
    <row r="70" spans="1:16" x14ac:dyDescent="0.25">
      <c r="A70" t="s">
        <v>107</v>
      </c>
      <c r="B70">
        <v>4237</v>
      </c>
      <c r="C70">
        <v>2505</v>
      </c>
      <c r="D70">
        <v>67</v>
      </c>
      <c r="E70" t="s">
        <v>20</v>
      </c>
      <c r="F70">
        <v>81</v>
      </c>
      <c r="G70">
        <v>3371</v>
      </c>
      <c r="H70">
        <v>3051.51</v>
      </c>
      <c r="I70">
        <v>69</v>
      </c>
      <c r="J70">
        <v>-1.98</v>
      </c>
      <c r="K70">
        <v>2022</v>
      </c>
      <c r="L70">
        <v>1</v>
      </c>
      <c r="M70">
        <v>12</v>
      </c>
      <c r="N70" t="s">
        <v>34</v>
      </c>
      <c r="P70" t="s">
        <v>28</v>
      </c>
    </row>
    <row r="71" spans="1:16" x14ac:dyDescent="0.25">
      <c r="A71" t="s">
        <v>108</v>
      </c>
      <c r="B71">
        <v>4223</v>
      </c>
      <c r="C71">
        <v>2511</v>
      </c>
      <c r="D71">
        <v>71</v>
      </c>
      <c r="E71" t="s">
        <v>20</v>
      </c>
      <c r="F71">
        <v>80</v>
      </c>
      <c r="G71">
        <v>3367</v>
      </c>
      <c r="H71">
        <v>3050.85</v>
      </c>
      <c r="I71">
        <v>70</v>
      </c>
      <c r="J71">
        <v>-0.66</v>
      </c>
      <c r="K71">
        <v>2020</v>
      </c>
      <c r="L71">
        <v>1</v>
      </c>
      <c r="M71">
        <v>15</v>
      </c>
      <c r="N71" t="s">
        <v>17</v>
      </c>
      <c r="P71" t="s">
        <v>25</v>
      </c>
    </row>
    <row r="72" spans="1:16" x14ac:dyDescent="0.25">
      <c r="A72" t="s">
        <v>109</v>
      </c>
      <c r="B72">
        <v>3899</v>
      </c>
      <c r="C72">
        <v>2662</v>
      </c>
      <c r="D72">
        <v>88</v>
      </c>
      <c r="E72" t="s">
        <v>33</v>
      </c>
      <c r="F72">
        <v>75</v>
      </c>
      <c r="G72">
        <v>3280.5</v>
      </c>
      <c r="H72">
        <v>3043.59</v>
      </c>
      <c r="I72">
        <v>71</v>
      </c>
      <c r="J72">
        <v>-7.26</v>
      </c>
      <c r="K72">
        <v>2019</v>
      </c>
      <c r="L72">
        <v>2</v>
      </c>
      <c r="M72">
        <v>53</v>
      </c>
      <c r="N72" t="s">
        <v>37</v>
      </c>
      <c r="P72" t="s">
        <v>22</v>
      </c>
    </row>
    <row r="73" spans="1:16" x14ac:dyDescent="0.25">
      <c r="A73" t="s">
        <v>110</v>
      </c>
      <c r="B73">
        <v>4142</v>
      </c>
      <c r="C73">
        <v>2540</v>
      </c>
      <c r="D73">
        <v>80</v>
      </c>
      <c r="E73" t="s">
        <v>63</v>
      </c>
      <c r="F73">
        <v>79</v>
      </c>
      <c r="G73">
        <v>3341</v>
      </c>
      <c r="H73">
        <v>3043.26</v>
      </c>
      <c r="I73">
        <v>72</v>
      </c>
      <c r="J73">
        <v>-0.33</v>
      </c>
      <c r="K73" t="s">
        <v>16</v>
      </c>
      <c r="L73" t="s">
        <v>16</v>
      </c>
      <c r="M73" t="s">
        <v>16</v>
      </c>
      <c r="N73" t="s">
        <v>27</v>
      </c>
      <c r="P73" t="s">
        <v>18</v>
      </c>
    </row>
    <row r="74" spans="1:16" x14ac:dyDescent="0.25">
      <c r="A74" t="s">
        <v>111</v>
      </c>
      <c r="B74">
        <v>4308</v>
      </c>
      <c r="C74">
        <v>2391</v>
      </c>
      <c r="D74">
        <v>62</v>
      </c>
      <c r="E74" t="s">
        <v>15</v>
      </c>
      <c r="F74">
        <v>87</v>
      </c>
      <c r="G74">
        <v>3349.5</v>
      </c>
      <c r="H74">
        <v>2999.7</v>
      </c>
      <c r="I74">
        <v>73</v>
      </c>
      <c r="J74">
        <v>-43.56</v>
      </c>
      <c r="K74">
        <v>2020</v>
      </c>
      <c r="L74">
        <v>1</v>
      </c>
      <c r="M74">
        <v>26</v>
      </c>
      <c r="N74" t="s">
        <v>24</v>
      </c>
      <c r="P74" t="s">
        <v>18</v>
      </c>
    </row>
    <row r="75" spans="1:16" x14ac:dyDescent="0.25">
      <c r="A75" t="s">
        <v>112</v>
      </c>
      <c r="B75">
        <v>4225</v>
      </c>
      <c r="C75">
        <v>2424</v>
      </c>
      <c r="D75">
        <v>70</v>
      </c>
      <c r="E75" t="s">
        <v>20</v>
      </c>
      <c r="F75">
        <v>85</v>
      </c>
      <c r="G75">
        <v>3324.5</v>
      </c>
      <c r="H75">
        <v>2994.09</v>
      </c>
      <c r="I75">
        <v>74</v>
      </c>
      <c r="J75">
        <v>-5.61</v>
      </c>
      <c r="K75">
        <v>2020</v>
      </c>
      <c r="L75">
        <v>1</v>
      </c>
      <c r="M75">
        <v>25</v>
      </c>
      <c r="N75" t="s">
        <v>34</v>
      </c>
      <c r="P75" t="s">
        <v>22</v>
      </c>
    </row>
    <row r="76" spans="1:16" x14ac:dyDescent="0.25">
      <c r="A76" t="s">
        <v>113</v>
      </c>
      <c r="B76">
        <v>4174</v>
      </c>
      <c r="C76">
        <v>2356</v>
      </c>
      <c r="D76">
        <v>76</v>
      </c>
      <c r="E76" t="s">
        <v>20</v>
      </c>
      <c r="F76">
        <v>90</v>
      </c>
      <c r="G76">
        <v>3265</v>
      </c>
      <c r="H76">
        <v>2932.38</v>
      </c>
      <c r="I76">
        <v>75</v>
      </c>
      <c r="J76">
        <v>-61.71</v>
      </c>
      <c r="K76">
        <v>2022</v>
      </c>
      <c r="L76">
        <v>2</v>
      </c>
      <c r="M76">
        <v>52</v>
      </c>
      <c r="N76" t="s">
        <v>34</v>
      </c>
      <c r="P76" t="s">
        <v>25</v>
      </c>
    </row>
    <row r="77" spans="1:16" x14ac:dyDescent="0.25">
      <c r="A77" t="s">
        <v>114</v>
      </c>
      <c r="B77">
        <v>4179</v>
      </c>
      <c r="C77">
        <v>2300</v>
      </c>
      <c r="D77">
        <v>75</v>
      </c>
      <c r="E77" t="s">
        <v>20</v>
      </c>
      <c r="F77">
        <v>91</v>
      </c>
      <c r="G77">
        <v>3239.5</v>
      </c>
      <c r="H77">
        <v>2897.07</v>
      </c>
      <c r="I77">
        <v>76</v>
      </c>
      <c r="J77">
        <v>-35.31</v>
      </c>
      <c r="K77">
        <v>2019</v>
      </c>
      <c r="L77">
        <v>3</v>
      </c>
      <c r="M77">
        <v>76</v>
      </c>
      <c r="N77" t="s">
        <v>37</v>
      </c>
      <c r="P77" t="s">
        <v>28</v>
      </c>
    </row>
    <row r="78" spans="1:16" x14ac:dyDescent="0.25">
      <c r="A78" t="s">
        <v>115</v>
      </c>
      <c r="B78">
        <v>3555</v>
      </c>
      <c r="C78">
        <v>2501</v>
      </c>
      <c r="D78">
        <v>103</v>
      </c>
      <c r="E78" t="s">
        <v>15</v>
      </c>
      <c r="F78">
        <v>82</v>
      </c>
      <c r="G78">
        <v>3028</v>
      </c>
      <c r="H78">
        <v>2823.81</v>
      </c>
      <c r="I78">
        <v>77</v>
      </c>
      <c r="J78">
        <v>-73.260000000000005</v>
      </c>
      <c r="K78">
        <v>2012</v>
      </c>
      <c r="L78">
        <v>3</v>
      </c>
      <c r="M78">
        <v>75</v>
      </c>
      <c r="N78" t="s">
        <v>21</v>
      </c>
      <c r="P78" t="s">
        <v>342</v>
      </c>
    </row>
    <row r="79" spans="1:16" x14ac:dyDescent="0.25">
      <c r="A79" t="s">
        <v>116</v>
      </c>
      <c r="B79">
        <v>3728</v>
      </c>
      <c r="C79">
        <v>2362</v>
      </c>
      <c r="D79">
        <v>97</v>
      </c>
      <c r="E79" t="s">
        <v>15</v>
      </c>
      <c r="F79">
        <v>88</v>
      </c>
      <c r="G79">
        <v>3045</v>
      </c>
      <c r="H79">
        <v>2789.16</v>
      </c>
      <c r="I79">
        <v>78</v>
      </c>
      <c r="J79">
        <v>-34.65</v>
      </c>
      <c r="K79">
        <v>2012</v>
      </c>
      <c r="L79">
        <v>4</v>
      </c>
      <c r="M79">
        <v>102</v>
      </c>
      <c r="N79" t="s">
        <v>30</v>
      </c>
      <c r="P79" t="s">
        <v>341</v>
      </c>
    </row>
    <row r="80" spans="1:16" x14ac:dyDescent="0.25">
      <c r="A80" t="s">
        <v>117</v>
      </c>
      <c r="B80">
        <v>3959</v>
      </c>
      <c r="C80">
        <v>2211</v>
      </c>
      <c r="D80">
        <v>84</v>
      </c>
      <c r="E80" t="s">
        <v>63</v>
      </c>
      <c r="F80">
        <v>96</v>
      </c>
      <c r="G80">
        <v>3085</v>
      </c>
      <c r="H80">
        <v>2765.73</v>
      </c>
      <c r="I80">
        <v>79</v>
      </c>
      <c r="J80">
        <v>-23.43</v>
      </c>
      <c r="K80">
        <v>2018</v>
      </c>
      <c r="L80">
        <v>2</v>
      </c>
      <c r="M80">
        <v>49</v>
      </c>
      <c r="N80" t="s">
        <v>27</v>
      </c>
      <c r="P80" t="s">
        <v>35</v>
      </c>
    </row>
    <row r="81" spans="1:16" x14ac:dyDescent="0.25">
      <c r="A81" t="s">
        <v>118</v>
      </c>
      <c r="B81">
        <v>4236</v>
      </c>
      <c r="C81">
        <v>2056</v>
      </c>
      <c r="D81">
        <v>68</v>
      </c>
      <c r="E81" t="s">
        <v>20</v>
      </c>
      <c r="F81">
        <v>108</v>
      </c>
      <c r="G81">
        <v>3146</v>
      </c>
      <c r="H81">
        <v>2754.84</v>
      </c>
      <c r="I81">
        <v>80</v>
      </c>
      <c r="J81">
        <v>-10.89</v>
      </c>
      <c r="K81" t="s">
        <v>16</v>
      </c>
      <c r="L81" t="s">
        <v>16</v>
      </c>
      <c r="M81" t="s">
        <v>16</v>
      </c>
      <c r="N81" t="s">
        <v>40</v>
      </c>
      <c r="P81" t="s">
        <v>38</v>
      </c>
    </row>
    <row r="82" spans="1:16" x14ac:dyDescent="0.25">
      <c r="A82" t="s">
        <v>119</v>
      </c>
      <c r="B82">
        <v>3752</v>
      </c>
      <c r="C82">
        <v>2261</v>
      </c>
      <c r="D82">
        <v>95</v>
      </c>
      <c r="E82" t="s">
        <v>20</v>
      </c>
      <c r="F82">
        <v>95</v>
      </c>
      <c r="G82">
        <v>3006.5</v>
      </c>
      <c r="H82">
        <v>2730.42</v>
      </c>
      <c r="I82">
        <v>81</v>
      </c>
      <c r="J82">
        <v>-24.42</v>
      </c>
      <c r="K82">
        <v>2015</v>
      </c>
      <c r="L82">
        <v>1</v>
      </c>
      <c r="M82">
        <v>4</v>
      </c>
      <c r="N82" t="s">
        <v>30</v>
      </c>
      <c r="P82" t="s">
        <v>41</v>
      </c>
    </row>
    <row r="83" spans="1:16" x14ac:dyDescent="0.25">
      <c r="A83" t="s">
        <v>120</v>
      </c>
      <c r="B83">
        <v>3712</v>
      </c>
      <c r="C83">
        <v>2271</v>
      </c>
      <c r="D83">
        <v>99</v>
      </c>
      <c r="E83" t="s">
        <v>33</v>
      </c>
      <c r="F83">
        <v>94</v>
      </c>
      <c r="G83">
        <v>2991.5</v>
      </c>
      <c r="H83">
        <v>2723.82</v>
      </c>
      <c r="I83">
        <v>82</v>
      </c>
      <c r="J83">
        <v>-6.6</v>
      </c>
      <c r="K83">
        <v>2022</v>
      </c>
      <c r="L83">
        <v>3</v>
      </c>
      <c r="M83">
        <v>91</v>
      </c>
      <c r="N83" t="s">
        <v>55</v>
      </c>
      <c r="P83" t="s">
        <v>44</v>
      </c>
    </row>
    <row r="84" spans="1:16" x14ac:dyDescent="0.25">
      <c r="A84" t="s">
        <v>121</v>
      </c>
      <c r="B84">
        <v>3898</v>
      </c>
      <c r="C84">
        <v>2154</v>
      </c>
      <c r="D84">
        <v>89</v>
      </c>
      <c r="E84" t="s">
        <v>15</v>
      </c>
      <c r="F84">
        <v>99</v>
      </c>
      <c r="G84">
        <v>3026</v>
      </c>
      <c r="H84">
        <v>2707.98</v>
      </c>
      <c r="I84">
        <v>83</v>
      </c>
      <c r="J84">
        <v>-15.84</v>
      </c>
      <c r="K84">
        <v>2021</v>
      </c>
      <c r="L84">
        <v>1</v>
      </c>
      <c r="M84">
        <v>3</v>
      </c>
      <c r="N84" t="s">
        <v>55</v>
      </c>
      <c r="P84" t="s">
        <v>46</v>
      </c>
    </row>
    <row r="85" spans="1:16" x14ac:dyDescent="0.25">
      <c r="A85" t="s">
        <v>122</v>
      </c>
      <c r="B85">
        <v>3924</v>
      </c>
      <c r="C85">
        <v>2127</v>
      </c>
      <c r="D85">
        <v>87</v>
      </c>
      <c r="E85" t="s">
        <v>20</v>
      </c>
      <c r="F85">
        <v>101</v>
      </c>
      <c r="G85">
        <v>3025.5</v>
      </c>
      <c r="H85">
        <v>2698.74</v>
      </c>
      <c r="I85">
        <v>84</v>
      </c>
      <c r="J85">
        <v>-9.24</v>
      </c>
      <c r="K85">
        <v>2019</v>
      </c>
      <c r="L85">
        <v>1</v>
      </c>
      <c r="M85">
        <v>25</v>
      </c>
      <c r="N85" t="s">
        <v>43</v>
      </c>
      <c r="P85" t="s">
        <v>48</v>
      </c>
    </row>
    <row r="86" spans="1:16" x14ac:dyDescent="0.25">
      <c r="A86" t="s">
        <v>123</v>
      </c>
      <c r="B86">
        <v>3859</v>
      </c>
      <c r="C86">
        <v>2154</v>
      </c>
      <c r="D86">
        <v>91</v>
      </c>
      <c r="E86" t="s">
        <v>20</v>
      </c>
      <c r="F86">
        <v>100</v>
      </c>
      <c r="G86">
        <v>3006.5</v>
      </c>
      <c r="H86">
        <v>2695.11</v>
      </c>
      <c r="I86">
        <v>85</v>
      </c>
      <c r="J86">
        <v>-3.63</v>
      </c>
      <c r="K86">
        <v>2019</v>
      </c>
      <c r="L86">
        <v>3</v>
      </c>
      <c r="M86">
        <v>66</v>
      </c>
      <c r="N86" t="s">
        <v>30</v>
      </c>
      <c r="P86" t="s">
        <v>48</v>
      </c>
    </row>
    <row r="87" spans="1:16" x14ac:dyDescent="0.25">
      <c r="A87" t="s">
        <v>124</v>
      </c>
      <c r="B87">
        <v>3524</v>
      </c>
      <c r="C87">
        <v>2285</v>
      </c>
      <c r="D87">
        <v>105</v>
      </c>
      <c r="E87" t="s">
        <v>15</v>
      </c>
      <c r="F87">
        <v>93</v>
      </c>
      <c r="G87">
        <v>2904.5</v>
      </c>
      <c r="H87">
        <v>2671.02</v>
      </c>
      <c r="I87">
        <v>86</v>
      </c>
      <c r="J87">
        <v>-24.09</v>
      </c>
      <c r="K87" t="s">
        <v>16</v>
      </c>
      <c r="L87" t="s">
        <v>16</v>
      </c>
      <c r="M87" t="s">
        <v>16</v>
      </c>
      <c r="N87" t="s">
        <v>24</v>
      </c>
      <c r="P87" t="s">
        <v>46</v>
      </c>
    </row>
    <row r="88" spans="1:16" x14ac:dyDescent="0.25">
      <c r="A88" t="s">
        <v>125</v>
      </c>
      <c r="B88">
        <v>3412</v>
      </c>
      <c r="C88">
        <v>2289</v>
      </c>
      <c r="D88">
        <v>107</v>
      </c>
      <c r="E88" t="s">
        <v>33</v>
      </c>
      <c r="F88">
        <v>92</v>
      </c>
      <c r="G88">
        <v>2850.5</v>
      </c>
      <c r="H88">
        <v>2636.7</v>
      </c>
      <c r="I88">
        <v>87</v>
      </c>
      <c r="J88">
        <v>-34.32</v>
      </c>
      <c r="K88">
        <v>2017</v>
      </c>
      <c r="L88">
        <v>2</v>
      </c>
      <c r="M88">
        <v>48</v>
      </c>
      <c r="N88" t="s">
        <v>30</v>
      </c>
      <c r="P88" t="s">
        <v>44</v>
      </c>
    </row>
    <row r="89" spans="1:16" x14ac:dyDescent="0.25">
      <c r="A89" t="s">
        <v>126</v>
      </c>
      <c r="B89">
        <v>3758</v>
      </c>
      <c r="C89">
        <v>2105</v>
      </c>
      <c r="D89">
        <v>94</v>
      </c>
      <c r="E89" t="s">
        <v>33</v>
      </c>
      <c r="F89">
        <v>103</v>
      </c>
      <c r="G89">
        <v>2931.5</v>
      </c>
      <c r="H89">
        <v>2629.44</v>
      </c>
      <c r="I89">
        <v>88</v>
      </c>
      <c r="J89">
        <v>-7.26</v>
      </c>
      <c r="K89" t="s">
        <v>16</v>
      </c>
      <c r="L89" t="s">
        <v>16</v>
      </c>
      <c r="M89" t="s">
        <v>16</v>
      </c>
      <c r="N89" t="s">
        <v>34</v>
      </c>
      <c r="P89" t="s">
        <v>41</v>
      </c>
    </row>
    <row r="90" spans="1:16" x14ac:dyDescent="0.25">
      <c r="A90" t="s">
        <v>127</v>
      </c>
      <c r="B90">
        <v>3150</v>
      </c>
      <c r="C90">
        <v>2405</v>
      </c>
      <c r="D90">
        <v>123</v>
      </c>
      <c r="E90" t="s">
        <v>33</v>
      </c>
      <c r="F90">
        <v>86</v>
      </c>
      <c r="G90">
        <v>2777.5</v>
      </c>
      <c r="H90">
        <v>2626.8</v>
      </c>
      <c r="I90">
        <v>89</v>
      </c>
      <c r="J90">
        <v>-2.64</v>
      </c>
      <c r="K90">
        <v>2017</v>
      </c>
      <c r="L90">
        <v>2</v>
      </c>
      <c r="M90">
        <v>41</v>
      </c>
      <c r="N90" t="s">
        <v>40</v>
      </c>
      <c r="P90" t="s">
        <v>38</v>
      </c>
    </row>
    <row r="91" spans="1:16" x14ac:dyDescent="0.25">
      <c r="A91" t="s">
        <v>128</v>
      </c>
      <c r="B91">
        <v>3941</v>
      </c>
      <c r="C91">
        <v>1988</v>
      </c>
      <c r="D91">
        <v>85</v>
      </c>
      <c r="E91" t="s">
        <v>20</v>
      </c>
      <c r="F91">
        <v>112</v>
      </c>
      <c r="G91">
        <v>2964.5</v>
      </c>
      <c r="H91">
        <v>2612.61</v>
      </c>
      <c r="I91">
        <v>90</v>
      </c>
      <c r="J91">
        <v>-14.19</v>
      </c>
      <c r="K91" t="s">
        <v>16</v>
      </c>
      <c r="L91" t="s">
        <v>16</v>
      </c>
      <c r="M91" t="s">
        <v>16</v>
      </c>
      <c r="N91" t="s">
        <v>43</v>
      </c>
      <c r="P91" t="s">
        <v>35</v>
      </c>
    </row>
    <row r="92" spans="1:16" x14ac:dyDescent="0.25">
      <c r="A92" t="s">
        <v>129</v>
      </c>
      <c r="B92">
        <v>3727</v>
      </c>
      <c r="C92">
        <v>2073</v>
      </c>
      <c r="D92">
        <v>98</v>
      </c>
      <c r="E92" t="s">
        <v>15</v>
      </c>
      <c r="F92">
        <v>106</v>
      </c>
      <c r="G92">
        <v>2900</v>
      </c>
      <c r="H92">
        <v>2598.09</v>
      </c>
      <c r="I92">
        <v>91</v>
      </c>
      <c r="J92">
        <v>-14.52</v>
      </c>
      <c r="K92">
        <v>2013</v>
      </c>
      <c r="L92">
        <v>2</v>
      </c>
      <c r="M92">
        <v>39</v>
      </c>
      <c r="N92" t="s">
        <v>40</v>
      </c>
      <c r="P92" t="s">
        <v>341</v>
      </c>
    </row>
    <row r="93" spans="1:16" x14ac:dyDescent="0.25">
      <c r="A93" t="s">
        <v>130</v>
      </c>
      <c r="B93">
        <v>3617</v>
      </c>
      <c r="C93">
        <v>2113</v>
      </c>
      <c r="D93">
        <v>101</v>
      </c>
      <c r="E93" t="s">
        <v>15</v>
      </c>
      <c r="F93">
        <v>102</v>
      </c>
      <c r="G93">
        <v>2865</v>
      </c>
      <c r="H93">
        <v>2588.19</v>
      </c>
      <c r="I93">
        <v>92</v>
      </c>
      <c r="J93">
        <v>-9.9</v>
      </c>
      <c r="K93">
        <v>2014</v>
      </c>
      <c r="L93">
        <v>2</v>
      </c>
      <c r="M93">
        <v>36</v>
      </c>
      <c r="N93" t="s">
        <v>30</v>
      </c>
      <c r="P93" t="s">
        <v>35</v>
      </c>
    </row>
    <row r="94" spans="1:16" x14ac:dyDescent="0.25">
      <c r="A94" t="s">
        <v>131</v>
      </c>
      <c r="B94">
        <v>3648</v>
      </c>
      <c r="C94">
        <v>2092</v>
      </c>
      <c r="D94">
        <v>100</v>
      </c>
      <c r="E94" t="s">
        <v>33</v>
      </c>
      <c r="F94">
        <v>104</v>
      </c>
      <c r="G94">
        <v>2870</v>
      </c>
      <c r="H94">
        <v>2584.56</v>
      </c>
      <c r="I94">
        <v>93</v>
      </c>
      <c r="J94">
        <v>-3.63</v>
      </c>
      <c r="K94" t="s">
        <v>16</v>
      </c>
      <c r="L94" t="s">
        <v>16</v>
      </c>
      <c r="M94" t="s">
        <v>16</v>
      </c>
      <c r="N94" t="s">
        <v>43</v>
      </c>
      <c r="P94" t="s">
        <v>28</v>
      </c>
    </row>
    <row r="95" spans="1:16" x14ac:dyDescent="0.25">
      <c r="A95" t="s">
        <v>132</v>
      </c>
      <c r="B95">
        <v>3941</v>
      </c>
      <c r="C95">
        <v>1926</v>
      </c>
      <c r="D95">
        <v>86</v>
      </c>
      <c r="E95" t="s">
        <v>20</v>
      </c>
      <c r="F95">
        <v>117</v>
      </c>
      <c r="G95">
        <v>2933.5</v>
      </c>
      <c r="H95">
        <v>2571.69</v>
      </c>
      <c r="I95">
        <v>94</v>
      </c>
      <c r="J95">
        <v>-12.87</v>
      </c>
      <c r="K95">
        <v>2018</v>
      </c>
      <c r="L95">
        <v>2</v>
      </c>
      <c r="M95">
        <v>47</v>
      </c>
      <c r="N95" t="s">
        <v>55</v>
      </c>
      <c r="P95" t="s">
        <v>25</v>
      </c>
    </row>
    <row r="96" spans="1:16" x14ac:dyDescent="0.25">
      <c r="A96" t="s">
        <v>133</v>
      </c>
      <c r="B96">
        <v>3733</v>
      </c>
      <c r="C96">
        <v>1983</v>
      </c>
      <c r="D96">
        <v>96</v>
      </c>
      <c r="E96" t="s">
        <v>63</v>
      </c>
      <c r="F96">
        <v>113</v>
      </c>
      <c r="G96">
        <v>2858</v>
      </c>
      <c r="H96">
        <v>2540.67</v>
      </c>
      <c r="I96">
        <v>95</v>
      </c>
      <c r="J96">
        <v>-31.02</v>
      </c>
      <c r="K96">
        <v>2021</v>
      </c>
      <c r="L96">
        <v>2</v>
      </c>
      <c r="M96">
        <v>55</v>
      </c>
      <c r="N96" t="s">
        <v>55</v>
      </c>
      <c r="P96" t="s">
        <v>22</v>
      </c>
    </row>
    <row r="97" spans="1:16" x14ac:dyDescent="0.25">
      <c r="A97" t="s">
        <v>134</v>
      </c>
      <c r="B97">
        <v>3526</v>
      </c>
      <c r="C97">
        <v>2079</v>
      </c>
      <c r="D97">
        <v>104</v>
      </c>
      <c r="E97" t="s">
        <v>15</v>
      </c>
      <c r="F97">
        <v>105</v>
      </c>
      <c r="G97">
        <v>2802.5</v>
      </c>
      <c r="H97">
        <v>2535.7199999999998</v>
      </c>
      <c r="I97">
        <v>96</v>
      </c>
      <c r="J97">
        <v>-4.95</v>
      </c>
      <c r="K97" t="s">
        <v>16</v>
      </c>
      <c r="L97" t="s">
        <v>16</v>
      </c>
      <c r="M97" t="s">
        <v>16</v>
      </c>
      <c r="N97" t="s">
        <v>30</v>
      </c>
      <c r="P97" t="s">
        <v>18</v>
      </c>
    </row>
    <row r="98" spans="1:16" x14ac:dyDescent="0.25">
      <c r="A98" t="s">
        <v>135</v>
      </c>
      <c r="B98">
        <v>3396</v>
      </c>
      <c r="C98">
        <v>2039</v>
      </c>
      <c r="D98">
        <v>109</v>
      </c>
      <c r="E98" t="s">
        <v>33</v>
      </c>
      <c r="F98">
        <v>109</v>
      </c>
      <c r="G98">
        <v>2717.5</v>
      </c>
      <c r="H98">
        <v>2466.42</v>
      </c>
      <c r="I98">
        <v>97</v>
      </c>
      <c r="J98">
        <v>-69.3</v>
      </c>
      <c r="K98">
        <v>2017</v>
      </c>
      <c r="L98">
        <v>5</v>
      </c>
      <c r="M98">
        <v>182</v>
      </c>
      <c r="N98" t="s">
        <v>24</v>
      </c>
      <c r="P98" t="s">
        <v>18</v>
      </c>
    </row>
    <row r="99" spans="1:16" x14ac:dyDescent="0.25">
      <c r="A99" t="s">
        <v>136</v>
      </c>
      <c r="B99">
        <v>3259</v>
      </c>
      <c r="C99">
        <v>2017</v>
      </c>
      <c r="D99">
        <v>117</v>
      </c>
      <c r="E99" t="s">
        <v>33</v>
      </c>
      <c r="F99">
        <v>110</v>
      </c>
      <c r="G99">
        <v>2638</v>
      </c>
      <c r="H99">
        <v>2406.69</v>
      </c>
      <c r="I99">
        <v>98</v>
      </c>
      <c r="J99">
        <v>-59.73</v>
      </c>
      <c r="K99">
        <v>2020</v>
      </c>
      <c r="L99">
        <v>2</v>
      </c>
      <c r="M99">
        <v>52</v>
      </c>
      <c r="N99" t="s">
        <v>30</v>
      </c>
      <c r="P99" t="s">
        <v>22</v>
      </c>
    </row>
    <row r="100" spans="1:16" x14ac:dyDescent="0.25">
      <c r="A100" t="s">
        <v>137</v>
      </c>
      <c r="B100">
        <v>3380</v>
      </c>
      <c r="C100">
        <v>1899</v>
      </c>
      <c r="D100">
        <v>111</v>
      </c>
      <c r="E100" t="s">
        <v>33</v>
      </c>
      <c r="F100">
        <v>119</v>
      </c>
      <c r="G100">
        <v>2639.5</v>
      </c>
      <c r="H100">
        <v>2368.7399999999998</v>
      </c>
      <c r="I100">
        <v>99</v>
      </c>
      <c r="J100">
        <v>-37.950000000000003</v>
      </c>
      <c r="K100">
        <v>2022</v>
      </c>
      <c r="L100">
        <v>2</v>
      </c>
      <c r="M100">
        <v>63</v>
      </c>
      <c r="N100" t="s">
        <v>27</v>
      </c>
      <c r="P100" t="s">
        <v>25</v>
      </c>
    </row>
    <row r="101" spans="1:16" x14ac:dyDescent="0.25">
      <c r="A101" t="s">
        <v>138</v>
      </c>
      <c r="B101">
        <v>3787</v>
      </c>
      <c r="C101">
        <v>1672</v>
      </c>
      <c r="D101">
        <v>93</v>
      </c>
      <c r="E101" t="s">
        <v>15</v>
      </c>
      <c r="F101">
        <v>129</v>
      </c>
      <c r="G101">
        <v>2729.5</v>
      </c>
      <c r="H101">
        <v>2353.23</v>
      </c>
      <c r="I101">
        <v>100</v>
      </c>
      <c r="J101">
        <v>-15.51</v>
      </c>
      <c r="K101">
        <v>2022</v>
      </c>
      <c r="L101">
        <v>7</v>
      </c>
      <c r="M101">
        <v>262</v>
      </c>
      <c r="N101" t="s">
        <v>40</v>
      </c>
      <c r="P101" t="s">
        <v>28</v>
      </c>
    </row>
    <row r="102" spans="1:16" x14ac:dyDescent="0.25">
      <c r="A102" t="s">
        <v>139</v>
      </c>
      <c r="B102">
        <v>3391</v>
      </c>
      <c r="C102">
        <v>1821</v>
      </c>
      <c r="D102">
        <v>110</v>
      </c>
      <c r="E102" t="s">
        <v>20</v>
      </c>
      <c r="F102">
        <v>123</v>
      </c>
      <c r="G102">
        <v>2606</v>
      </c>
      <c r="H102">
        <v>2320.89</v>
      </c>
      <c r="I102">
        <v>101</v>
      </c>
      <c r="J102">
        <v>-32.340000000000003</v>
      </c>
      <c r="K102">
        <v>2021</v>
      </c>
      <c r="L102">
        <v>1</v>
      </c>
      <c r="M102">
        <v>20</v>
      </c>
      <c r="N102" t="s">
        <v>17</v>
      </c>
      <c r="P102" t="s">
        <v>342</v>
      </c>
    </row>
    <row r="103" spans="1:16" x14ac:dyDescent="0.25">
      <c r="A103" t="s">
        <v>140</v>
      </c>
      <c r="B103">
        <v>3164</v>
      </c>
      <c r="C103">
        <v>1920</v>
      </c>
      <c r="D103">
        <v>121</v>
      </c>
      <c r="E103" t="s">
        <v>20</v>
      </c>
      <c r="F103">
        <v>118</v>
      </c>
      <c r="G103">
        <v>2542</v>
      </c>
      <c r="H103">
        <v>2311.3200000000002</v>
      </c>
      <c r="I103">
        <v>102</v>
      </c>
      <c r="J103">
        <v>-9.57</v>
      </c>
      <c r="K103">
        <v>2013</v>
      </c>
      <c r="L103">
        <v>1</v>
      </c>
      <c r="M103">
        <v>27</v>
      </c>
      <c r="N103" t="s">
        <v>37</v>
      </c>
      <c r="P103" t="s">
        <v>341</v>
      </c>
    </row>
    <row r="104" spans="1:16" x14ac:dyDescent="0.25">
      <c r="A104" t="s">
        <v>141</v>
      </c>
      <c r="B104">
        <v>2969</v>
      </c>
      <c r="C104">
        <v>2005</v>
      </c>
      <c r="D104">
        <v>133</v>
      </c>
      <c r="E104" t="s">
        <v>20</v>
      </c>
      <c r="F104">
        <v>111</v>
      </c>
      <c r="G104">
        <v>2487</v>
      </c>
      <c r="H104">
        <v>2303.0700000000002</v>
      </c>
      <c r="I104">
        <v>103</v>
      </c>
      <c r="J104">
        <v>-8.25</v>
      </c>
      <c r="K104">
        <v>2013</v>
      </c>
      <c r="L104">
        <v>3</v>
      </c>
      <c r="M104">
        <v>76</v>
      </c>
      <c r="N104" t="s">
        <v>30</v>
      </c>
      <c r="P104" t="s">
        <v>35</v>
      </c>
    </row>
    <row r="105" spans="1:16" x14ac:dyDescent="0.25">
      <c r="A105" t="s">
        <v>142</v>
      </c>
      <c r="B105">
        <v>3491</v>
      </c>
      <c r="C105">
        <v>1742</v>
      </c>
      <c r="D105">
        <v>106</v>
      </c>
      <c r="E105" t="s">
        <v>63</v>
      </c>
      <c r="F105">
        <v>126</v>
      </c>
      <c r="G105">
        <v>2616.5</v>
      </c>
      <c r="H105">
        <v>2301.75</v>
      </c>
      <c r="I105">
        <v>104</v>
      </c>
      <c r="J105">
        <v>-1.32</v>
      </c>
      <c r="K105" t="s">
        <v>16</v>
      </c>
      <c r="L105" t="s">
        <v>16</v>
      </c>
      <c r="M105" t="s">
        <v>16</v>
      </c>
      <c r="N105" t="s">
        <v>40</v>
      </c>
      <c r="P105" t="s">
        <v>38</v>
      </c>
    </row>
    <row r="106" spans="1:16" x14ac:dyDescent="0.25">
      <c r="A106" t="s">
        <v>143</v>
      </c>
      <c r="B106">
        <v>3241</v>
      </c>
      <c r="C106">
        <v>1848</v>
      </c>
      <c r="D106">
        <v>118</v>
      </c>
      <c r="E106" t="s">
        <v>20</v>
      </c>
      <c r="F106">
        <v>121</v>
      </c>
      <c r="G106">
        <v>2544.5</v>
      </c>
      <c r="H106">
        <v>2289.21</v>
      </c>
      <c r="I106">
        <v>105</v>
      </c>
      <c r="J106">
        <v>-12.54</v>
      </c>
      <c r="K106">
        <v>2014</v>
      </c>
      <c r="L106">
        <v>1</v>
      </c>
      <c r="M106">
        <v>7</v>
      </c>
      <c r="N106" t="s">
        <v>43</v>
      </c>
      <c r="P106" t="s">
        <v>41</v>
      </c>
    </row>
    <row r="107" spans="1:16" x14ac:dyDescent="0.25">
      <c r="A107" t="s">
        <v>144</v>
      </c>
      <c r="B107">
        <v>3125</v>
      </c>
      <c r="C107">
        <v>1890</v>
      </c>
      <c r="D107">
        <v>125</v>
      </c>
      <c r="E107" t="s">
        <v>33</v>
      </c>
      <c r="F107">
        <v>120</v>
      </c>
      <c r="G107">
        <v>2507.5</v>
      </c>
      <c r="H107">
        <v>2278.65</v>
      </c>
      <c r="I107">
        <v>106</v>
      </c>
      <c r="J107">
        <v>-10.56</v>
      </c>
      <c r="K107">
        <v>2019</v>
      </c>
      <c r="L107">
        <v>3</v>
      </c>
      <c r="M107">
        <v>73</v>
      </c>
      <c r="N107" t="s">
        <v>40</v>
      </c>
      <c r="P107" t="s">
        <v>44</v>
      </c>
    </row>
    <row r="108" spans="1:16" x14ac:dyDescent="0.25">
      <c r="A108" t="s">
        <v>145</v>
      </c>
      <c r="B108">
        <v>2952</v>
      </c>
      <c r="C108">
        <v>1951</v>
      </c>
      <c r="D108">
        <v>135</v>
      </c>
      <c r="E108" t="s">
        <v>33</v>
      </c>
      <c r="F108">
        <v>114</v>
      </c>
      <c r="G108">
        <v>2451.5</v>
      </c>
      <c r="H108">
        <v>2261.8200000000002</v>
      </c>
      <c r="I108">
        <v>107</v>
      </c>
      <c r="J108">
        <v>-16.829999999999998</v>
      </c>
      <c r="K108">
        <v>2017</v>
      </c>
      <c r="L108">
        <v>3</v>
      </c>
      <c r="M108">
        <v>67</v>
      </c>
      <c r="N108" t="s">
        <v>17</v>
      </c>
      <c r="P108" t="s">
        <v>46</v>
      </c>
    </row>
    <row r="109" spans="1:16" x14ac:dyDescent="0.25">
      <c r="A109" t="s">
        <v>146</v>
      </c>
      <c r="B109">
        <v>3405</v>
      </c>
      <c r="C109">
        <v>1685</v>
      </c>
      <c r="D109">
        <v>108</v>
      </c>
      <c r="E109" t="s">
        <v>20</v>
      </c>
      <c r="F109">
        <v>128</v>
      </c>
      <c r="G109">
        <v>2545</v>
      </c>
      <c r="H109">
        <v>2235.75</v>
      </c>
      <c r="I109">
        <v>108</v>
      </c>
      <c r="J109">
        <v>-26.07</v>
      </c>
      <c r="K109" t="s">
        <v>16</v>
      </c>
      <c r="L109" t="s">
        <v>16</v>
      </c>
      <c r="M109" t="s">
        <v>16</v>
      </c>
      <c r="N109" t="s">
        <v>21</v>
      </c>
      <c r="P109" t="s">
        <v>48</v>
      </c>
    </row>
    <row r="110" spans="1:16" x14ac:dyDescent="0.25">
      <c r="A110" t="s">
        <v>147</v>
      </c>
      <c r="B110">
        <v>3570</v>
      </c>
      <c r="C110">
        <v>1589</v>
      </c>
      <c r="D110">
        <v>102</v>
      </c>
      <c r="E110" t="s">
        <v>33</v>
      </c>
      <c r="F110">
        <v>134</v>
      </c>
      <c r="G110">
        <v>2579.5</v>
      </c>
      <c r="H110">
        <v>2226.84</v>
      </c>
      <c r="I110">
        <v>109</v>
      </c>
      <c r="J110">
        <v>-8.91</v>
      </c>
      <c r="K110">
        <v>2022</v>
      </c>
      <c r="L110">
        <v>7</v>
      </c>
      <c r="M110">
        <v>251</v>
      </c>
      <c r="N110" t="s">
        <v>37</v>
      </c>
      <c r="P110" t="s">
        <v>48</v>
      </c>
    </row>
    <row r="111" spans="1:16" x14ac:dyDescent="0.25">
      <c r="A111" t="s">
        <v>148</v>
      </c>
      <c r="B111">
        <v>3138</v>
      </c>
      <c r="C111">
        <v>1760</v>
      </c>
      <c r="D111">
        <v>124</v>
      </c>
      <c r="E111" t="s">
        <v>15</v>
      </c>
      <c r="F111">
        <v>125</v>
      </c>
      <c r="G111">
        <v>2449</v>
      </c>
      <c r="H111">
        <v>2197.14</v>
      </c>
      <c r="I111">
        <v>110</v>
      </c>
      <c r="J111">
        <v>-29.7</v>
      </c>
      <c r="K111">
        <v>2022</v>
      </c>
      <c r="L111">
        <v>3</v>
      </c>
      <c r="M111">
        <v>74</v>
      </c>
      <c r="N111" t="s">
        <v>55</v>
      </c>
      <c r="P111" t="s">
        <v>46</v>
      </c>
    </row>
    <row r="112" spans="1:16" x14ac:dyDescent="0.25">
      <c r="A112" t="s">
        <v>149</v>
      </c>
      <c r="B112">
        <v>2976</v>
      </c>
      <c r="C112">
        <v>1805</v>
      </c>
      <c r="D112">
        <v>129</v>
      </c>
      <c r="E112" t="s">
        <v>63</v>
      </c>
      <c r="F112">
        <v>124</v>
      </c>
      <c r="G112">
        <v>2390.5</v>
      </c>
      <c r="H112">
        <v>2173.38</v>
      </c>
      <c r="I112">
        <v>111</v>
      </c>
      <c r="J112">
        <v>-23.76</v>
      </c>
      <c r="K112">
        <v>2015</v>
      </c>
      <c r="L112">
        <v>6</v>
      </c>
      <c r="M112">
        <v>204</v>
      </c>
      <c r="N112" t="s">
        <v>34</v>
      </c>
      <c r="P112" t="s">
        <v>44</v>
      </c>
    </row>
    <row r="113" spans="1:16" x14ac:dyDescent="0.25">
      <c r="A113" t="s">
        <v>150</v>
      </c>
      <c r="B113">
        <v>3308</v>
      </c>
      <c r="C113">
        <v>1613</v>
      </c>
      <c r="D113">
        <v>114</v>
      </c>
      <c r="E113" t="s">
        <v>20</v>
      </c>
      <c r="F113">
        <v>132</v>
      </c>
      <c r="G113">
        <v>2460.5</v>
      </c>
      <c r="H113">
        <v>2156.2199999999998</v>
      </c>
      <c r="I113">
        <v>112</v>
      </c>
      <c r="J113">
        <v>-17.16</v>
      </c>
      <c r="K113">
        <v>2021</v>
      </c>
      <c r="L113">
        <v>1</v>
      </c>
      <c r="M113">
        <v>27</v>
      </c>
      <c r="N113" t="s">
        <v>21</v>
      </c>
      <c r="P113" t="s">
        <v>41</v>
      </c>
    </row>
    <row r="114" spans="1:16" x14ac:dyDescent="0.25">
      <c r="A114" t="s">
        <v>151</v>
      </c>
      <c r="B114">
        <v>3073</v>
      </c>
      <c r="C114">
        <v>1663</v>
      </c>
      <c r="D114">
        <v>126</v>
      </c>
      <c r="E114" t="s">
        <v>33</v>
      </c>
      <c r="F114">
        <v>130</v>
      </c>
      <c r="G114">
        <v>2368</v>
      </c>
      <c r="H114">
        <v>2111.67</v>
      </c>
      <c r="I114">
        <v>113</v>
      </c>
      <c r="J114">
        <v>-44.55</v>
      </c>
      <c r="K114">
        <v>2020</v>
      </c>
      <c r="L114">
        <v>2</v>
      </c>
      <c r="M114">
        <v>62</v>
      </c>
      <c r="N114" t="s">
        <v>55</v>
      </c>
      <c r="P114" t="s">
        <v>38</v>
      </c>
    </row>
    <row r="115" spans="1:16" x14ac:dyDescent="0.25">
      <c r="A115" t="s">
        <v>152</v>
      </c>
      <c r="B115">
        <v>3186</v>
      </c>
      <c r="C115">
        <v>1559</v>
      </c>
      <c r="D115">
        <v>119</v>
      </c>
      <c r="E115" t="s">
        <v>63</v>
      </c>
      <c r="F115">
        <v>136</v>
      </c>
      <c r="G115">
        <v>2372.5</v>
      </c>
      <c r="H115">
        <v>2080.3200000000002</v>
      </c>
      <c r="I115">
        <v>114</v>
      </c>
      <c r="J115">
        <v>-31.35</v>
      </c>
      <c r="K115" t="s">
        <v>16</v>
      </c>
      <c r="L115" t="s">
        <v>16</v>
      </c>
      <c r="M115" t="s">
        <v>16</v>
      </c>
      <c r="N115" t="s">
        <v>34</v>
      </c>
      <c r="P115" t="s">
        <v>35</v>
      </c>
    </row>
    <row r="116" spans="1:16" x14ac:dyDescent="0.25">
      <c r="A116" t="s">
        <v>153</v>
      </c>
      <c r="B116">
        <v>3152</v>
      </c>
      <c r="C116">
        <v>1571</v>
      </c>
      <c r="D116">
        <v>122</v>
      </c>
      <c r="E116" t="s">
        <v>33</v>
      </c>
      <c r="F116">
        <v>135</v>
      </c>
      <c r="G116">
        <v>2361.5</v>
      </c>
      <c r="H116">
        <v>2077.02</v>
      </c>
      <c r="I116">
        <v>115</v>
      </c>
      <c r="J116">
        <v>-3.3</v>
      </c>
      <c r="K116">
        <v>2019</v>
      </c>
      <c r="L116">
        <v>3</v>
      </c>
      <c r="M116">
        <v>102</v>
      </c>
      <c r="N116" t="s">
        <v>21</v>
      </c>
      <c r="P116" t="s">
        <v>341</v>
      </c>
    </row>
    <row r="117" spans="1:16" x14ac:dyDescent="0.25">
      <c r="A117" t="s">
        <v>154</v>
      </c>
      <c r="B117">
        <v>3263</v>
      </c>
      <c r="C117">
        <v>1494</v>
      </c>
      <c r="D117">
        <v>116</v>
      </c>
      <c r="E117" t="s">
        <v>20</v>
      </c>
      <c r="F117">
        <v>140</v>
      </c>
      <c r="G117">
        <v>2378.5</v>
      </c>
      <c r="H117">
        <v>2062.83</v>
      </c>
      <c r="I117">
        <v>116</v>
      </c>
      <c r="J117">
        <v>-14.19</v>
      </c>
      <c r="K117">
        <v>2017</v>
      </c>
      <c r="L117">
        <v>1</v>
      </c>
      <c r="M117">
        <v>7</v>
      </c>
      <c r="N117" t="s">
        <v>40</v>
      </c>
      <c r="P117" t="s">
        <v>342</v>
      </c>
    </row>
    <row r="118" spans="1:16" x14ac:dyDescent="0.25">
      <c r="A118" t="s">
        <v>155</v>
      </c>
      <c r="B118">
        <v>3179</v>
      </c>
      <c r="C118">
        <v>1527</v>
      </c>
      <c r="D118">
        <v>120</v>
      </c>
      <c r="E118" t="s">
        <v>15</v>
      </c>
      <c r="F118">
        <v>138</v>
      </c>
      <c r="G118">
        <v>2353</v>
      </c>
      <c r="H118">
        <v>2056.89</v>
      </c>
      <c r="I118">
        <v>117</v>
      </c>
      <c r="J118">
        <v>-5.94</v>
      </c>
      <c r="K118">
        <v>2021</v>
      </c>
      <c r="L118">
        <v>1</v>
      </c>
      <c r="M118">
        <v>15</v>
      </c>
      <c r="N118" t="s">
        <v>27</v>
      </c>
      <c r="P118" t="s">
        <v>28</v>
      </c>
    </row>
    <row r="119" spans="1:16" x14ac:dyDescent="0.25">
      <c r="A119" t="s">
        <v>156</v>
      </c>
      <c r="B119">
        <v>2976</v>
      </c>
      <c r="C119">
        <v>1599</v>
      </c>
      <c r="D119">
        <v>130</v>
      </c>
      <c r="E119" t="s">
        <v>33</v>
      </c>
      <c r="F119">
        <v>133</v>
      </c>
      <c r="G119">
        <v>2287.5</v>
      </c>
      <c r="H119">
        <v>2037.42</v>
      </c>
      <c r="I119">
        <v>118</v>
      </c>
      <c r="J119">
        <v>-19.47</v>
      </c>
      <c r="K119" t="s">
        <v>16</v>
      </c>
      <c r="L119" t="s">
        <v>16</v>
      </c>
      <c r="M119" t="s">
        <v>16</v>
      </c>
      <c r="N119" t="s">
        <v>37</v>
      </c>
      <c r="P119" t="s">
        <v>25</v>
      </c>
    </row>
    <row r="120" spans="1:16" x14ac:dyDescent="0.25">
      <c r="A120" t="s">
        <v>157</v>
      </c>
      <c r="B120">
        <v>3344</v>
      </c>
      <c r="C120">
        <v>1357</v>
      </c>
      <c r="D120">
        <v>112</v>
      </c>
      <c r="E120" t="s">
        <v>33</v>
      </c>
      <c r="F120">
        <v>157</v>
      </c>
      <c r="G120">
        <v>2350.5</v>
      </c>
      <c r="H120">
        <v>1999.14</v>
      </c>
      <c r="I120">
        <v>119</v>
      </c>
      <c r="J120">
        <v>-38.28</v>
      </c>
      <c r="K120" t="s">
        <v>16</v>
      </c>
      <c r="L120" t="s">
        <v>16</v>
      </c>
      <c r="M120" t="s">
        <v>16</v>
      </c>
      <c r="N120" t="s">
        <v>17</v>
      </c>
      <c r="P120" t="s">
        <v>22</v>
      </c>
    </row>
    <row r="121" spans="1:16" x14ac:dyDescent="0.25">
      <c r="A121" t="s">
        <v>158</v>
      </c>
      <c r="B121">
        <v>3038</v>
      </c>
      <c r="C121">
        <v>1497</v>
      </c>
      <c r="D121">
        <v>127</v>
      </c>
      <c r="E121" t="s">
        <v>33</v>
      </c>
      <c r="F121">
        <v>139</v>
      </c>
      <c r="G121">
        <v>2267.5</v>
      </c>
      <c r="H121">
        <v>1990.56</v>
      </c>
      <c r="I121">
        <v>120</v>
      </c>
      <c r="J121">
        <v>-8.58</v>
      </c>
      <c r="K121" t="s">
        <v>16</v>
      </c>
      <c r="L121" t="s">
        <v>16</v>
      </c>
      <c r="M121" t="s">
        <v>16</v>
      </c>
      <c r="N121" t="s">
        <v>43</v>
      </c>
      <c r="P121" t="s">
        <v>18</v>
      </c>
    </row>
    <row r="122" spans="1:16" x14ac:dyDescent="0.25">
      <c r="A122" t="s">
        <v>159</v>
      </c>
      <c r="B122">
        <v>2904</v>
      </c>
      <c r="C122">
        <v>1428</v>
      </c>
      <c r="D122">
        <v>137</v>
      </c>
      <c r="E122" t="s">
        <v>15</v>
      </c>
      <c r="F122">
        <v>147</v>
      </c>
      <c r="G122">
        <v>2166</v>
      </c>
      <c r="H122">
        <v>1900.8</v>
      </c>
      <c r="I122">
        <v>121</v>
      </c>
      <c r="J122">
        <v>-89.76</v>
      </c>
      <c r="K122">
        <v>2022</v>
      </c>
      <c r="L122">
        <v>5</v>
      </c>
      <c r="M122">
        <v>144</v>
      </c>
      <c r="N122" t="s">
        <v>34</v>
      </c>
      <c r="P122" t="s">
        <v>18</v>
      </c>
    </row>
    <row r="123" spans="1:16" x14ac:dyDescent="0.25">
      <c r="A123" t="s">
        <v>160</v>
      </c>
      <c r="B123">
        <v>2801</v>
      </c>
      <c r="C123">
        <v>1468</v>
      </c>
      <c r="D123">
        <v>142</v>
      </c>
      <c r="E123" t="s">
        <v>15</v>
      </c>
      <c r="F123">
        <v>143</v>
      </c>
      <c r="G123">
        <v>2134.5</v>
      </c>
      <c r="H123">
        <v>1893.21</v>
      </c>
      <c r="I123">
        <v>122</v>
      </c>
      <c r="J123">
        <v>-7.59</v>
      </c>
      <c r="K123">
        <v>2014</v>
      </c>
      <c r="L123">
        <v>2</v>
      </c>
      <c r="M123">
        <v>62</v>
      </c>
      <c r="N123" t="s">
        <v>34</v>
      </c>
      <c r="P123" t="s">
        <v>22</v>
      </c>
    </row>
    <row r="124" spans="1:16" x14ac:dyDescent="0.25">
      <c r="A124" t="s">
        <v>161</v>
      </c>
      <c r="B124">
        <v>2955</v>
      </c>
      <c r="C124">
        <v>1374</v>
      </c>
      <c r="D124">
        <v>134</v>
      </c>
      <c r="E124" t="s">
        <v>63</v>
      </c>
      <c r="F124">
        <v>155</v>
      </c>
      <c r="G124">
        <v>2164.5</v>
      </c>
      <c r="H124">
        <v>1881.99</v>
      </c>
      <c r="I124">
        <v>123</v>
      </c>
      <c r="J124">
        <v>-11.22</v>
      </c>
      <c r="K124">
        <v>2022</v>
      </c>
      <c r="L124">
        <v>4</v>
      </c>
      <c r="M124">
        <v>143</v>
      </c>
      <c r="N124" t="s">
        <v>24</v>
      </c>
      <c r="P124" t="s">
        <v>25</v>
      </c>
    </row>
    <row r="125" spans="1:16" x14ac:dyDescent="0.25">
      <c r="A125" t="s">
        <v>162</v>
      </c>
      <c r="B125">
        <v>3002</v>
      </c>
      <c r="C125">
        <v>1346</v>
      </c>
      <c r="D125">
        <v>128</v>
      </c>
      <c r="E125" t="s">
        <v>20</v>
      </c>
      <c r="F125">
        <v>160</v>
      </c>
      <c r="G125">
        <v>2174</v>
      </c>
      <c r="H125">
        <v>1879.02</v>
      </c>
      <c r="I125">
        <v>124</v>
      </c>
      <c r="J125">
        <v>-2.97</v>
      </c>
      <c r="K125">
        <v>2021</v>
      </c>
      <c r="L125">
        <v>2</v>
      </c>
      <c r="M125">
        <v>34</v>
      </c>
      <c r="N125" t="s">
        <v>24</v>
      </c>
      <c r="P125" t="s">
        <v>28</v>
      </c>
    </row>
    <row r="126" spans="1:16" x14ac:dyDescent="0.25">
      <c r="A126" t="s">
        <v>163</v>
      </c>
      <c r="B126">
        <v>2724</v>
      </c>
      <c r="C126">
        <v>1474</v>
      </c>
      <c r="D126">
        <v>152</v>
      </c>
      <c r="E126" t="s">
        <v>20</v>
      </c>
      <c r="F126">
        <v>142</v>
      </c>
      <c r="G126">
        <v>2099</v>
      </c>
      <c r="H126">
        <v>1871.76</v>
      </c>
      <c r="I126">
        <v>125</v>
      </c>
      <c r="J126">
        <v>-7.26</v>
      </c>
      <c r="K126">
        <v>2018</v>
      </c>
      <c r="L126">
        <v>2</v>
      </c>
      <c r="M126">
        <v>40</v>
      </c>
      <c r="N126" t="s">
        <v>43</v>
      </c>
      <c r="P126" t="s">
        <v>342</v>
      </c>
    </row>
    <row r="127" spans="1:16" x14ac:dyDescent="0.25">
      <c r="A127" t="s">
        <v>164</v>
      </c>
      <c r="B127">
        <v>2970</v>
      </c>
      <c r="C127">
        <v>1326</v>
      </c>
      <c r="D127">
        <v>132</v>
      </c>
      <c r="E127" t="s">
        <v>20</v>
      </c>
      <c r="F127">
        <v>163</v>
      </c>
      <c r="G127">
        <v>2148</v>
      </c>
      <c r="H127">
        <v>1855.26</v>
      </c>
      <c r="I127">
        <v>126</v>
      </c>
      <c r="J127">
        <v>-16.5</v>
      </c>
      <c r="K127" t="s">
        <v>16</v>
      </c>
      <c r="L127" t="s">
        <v>16</v>
      </c>
      <c r="M127" t="s">
        <v>16</v>
      </c>
      <c r="N127" t="s">
        <v>30</v>
      </c>
      <c r="P127" t="s">
        <v>341</v>
      </c>
    </row>
    <row r="128" spans="1:16" x14ac:dyDescent="0.25">
      <c r="A128" t="s">
        <v>165</v>
      </c>
      <c r="B128">
        <v>2793</v>
      </c>
      <c r="C128">
        <v>1385</v>
      </c>
      <c r="D128">
        <v>143</v>
      </c>
      <c r="E128" t="s">
        <v>63</v>
      </c>
      <c r="F128">
        <v>153</v>
      </c>
      <c r="G128">
        <v>2089</v>
      </c>
      <c r="H128">
        <v>1835.79</v>
      </c>
      <c r="I128">
        <v>127</v>
      </c>
      <c r="J128">
        <v>-19.47</v>
      </c>
      <c r="K128">
        <v>2017</v>
      </c>
      <c r="L128">
        <v>1</v>
      </c>
      <c r="M128">
        <v>23</v>
      </c>
      <c r="N128" t="s">
        <v>40</v>
      </c>
      <c r="P128" t="s">
        <v>35</v>
      </c>
    </row>
    <row r="129" spans="1:16" x14ac:dyDescent="0.25">
      <c r="A129" t="s">
        <v>166</v>
      </c>
      <c r="B129">
        <v>2697</v>
      </c>
      <c r="C129">
        <v>1432</v>
      </c>
      <c r="D129">
        <v>155</v>
      </c>
      <c r="E129" t="s">
        <v>33</v>
      </c>
      <c r="F129">
        <v>146</v>
      </c>
      <c r="G129">
        <v>2064.5</v>
      </c>
      <c r="H129">
        <v>1835.13</v>
      </c>
      <c r="I129">
        <v>128</v>
      </c>
      <c r="J129">
        <v>-0.66</v>
      </c>
      <c r="K129">
        <v>2017</v>
      </c>
      <c r="L129">
        <v>3</v>
      </c>
      <c r="M129">
        <v>105</v>
      </c>
      <c r="N129" t="s">
        <v>40</v>
      </c>
      <c r="P129" t="s">
        <v>38</v>
      </c>
    </row>
    <row r="130" spans="1:16" x14ac:dyDescent="0.25">
      <c r="A130" t="s">
        <v>167</v>
      </c>
      <c r="B130">
        <v>2747</v>
      </c>
      <c r="C130">
        <v>1403</v>
      </c>
      <c r="D130">
        <v>150</v>
      </c>
      <c r="E130" t="s">
        <v>33</v>
      </c>
      <c r="F130">
        <v>151</v>
      </c>
      <c r="G130">
        <v>2075</v>
      </c>
      <c r="H130">
        <v>1832.49</v>
      </c>
      <c r="I130">
        <v>129</v>
      </c>
      <c r="J130">
        <v>-2.64</v>
      </c>
      <c r="K130" t="s">
        <v>16</v>
      </c>
      <c r="L130" t="s">
        <v>16</v>
      </c>
      <c r="M130" t="s">
        <v>16</v>
      </c>
      <c r="N130" t="s">
        <v>27</v>
      </c>
      <c r="P130" t="s">
        <v>41</v>
      </c>
    </row>
    <row r="131" spans="1:16" x14ac:dyDescent="0.25">
      <c r="A131" t="s">
        <v>168</v>
      </c>
      <c r="B131">
        <v>2775</v>
      </c>
      <c r="C131">
        <v>1388</v>
      </c>
      <c r="D131">
        <v>145</v>
      </c>
      <c r="E131" t="s">
        <v>63</v>
      </c>
      <c r="F131">
        <v>152</v>
      </c>
      <c r="G131">
        <v>2081.5</v>
      </c>
      <c r="H131">
        <v>1831.83</v>
      </c>
      <c r="I131">
        <v>130</v>
      </c>
      <c r="J131">
        <v>-0.66</v>
      </c>
      <c r="K131">
        <v>2022</v>
      </c>
      <c r="L131">
        <v>3</v>
      </c>
      <c r="M131">
        <v>80</v>
      </c>
      <c r="N131" t="s">
        <v>30</v>
      </c>
      <c r="P131" t="s">
        <v>44</v>
      </c>
    </row>
    <row r="132" spans="1:16" x14ac:dyDescent="0.25">
      <c r="A132" t="s">
        <v>169</v>
      </c>
      <c r="B132">
        <v>2828</v>
      </c>
      <c r="C132">
        <v>1353</v>
      </c>
      <c r="D132">
        <v>140</v>
      </c>
      <c r="E132" t="s">
        <v>20</v>
      </c>
      <c r="F132">
        <v>158</v>
      </c>
      <c r="G132">
        <v>2090.5</v>
      </c>
      <c r="H132">
        <v>1826.22</v>
      </c>
      <c r="I132">
        <v>131</v>
      </c>
      <c r="J132">
        <v>-5.61</v>
      </c>
      <c r="K132" t="s">
        <v>16</v>
      </c>
      <c r="L132" t="s">
        <v>16</v>
      </c>
      <c r="M132" t="s">
        <v>16</v>
      </c>
      <c r="N132" t="s">
        <v>34</v>
      </c>
      <c r="P132" t="s">
        <v>46</v>
      </c>
    </row>
    <row r="133" spans="1:16" x14ac:dyDescent="0.25">
      <c r="A133" t="s">
        <v>170</v>
      </c>
      <c r="B133">
        <v>2907</v>
      </c>
      <c r="C133">
        <v>1293</v>
      </c>
      <c r="D133">
        <v>136</v>
      </c>
      <c r="E133" t="s">
        <v>20</v>
      </c>
      <c r="F133">
        <v>166</v>
      </c>
      <c r="G133">
        <v>2100</v>
      </c>
      <c r="H133">
        <v>1812.69</v>
      </c>
      <c r="I133">
        <v>132</v>
      </c>
      <c r="J133">
        <v>-13.53</v>
      </c>
      <c r="K133" t="s">
        <v>16</v>
      </c>
      <c r="L133" t="s">
        <v>16</v>
      </c>
      <c r="M133" t="s">
        <v>16</v>
      </c>
      <c r="N133" t="s">
        <v>55</v>
      </c>
      <c r="P133" t="s">
        <v>48</v>
      </c>
    </row>
    <row r="134" spans="1:16" x14ac:dyDescent="0.25">
      <c r="A134" t="s">
        <v>171</v>
      </c>
      <c r="B134">
        <v>2720</v>
      </c>
      <c r="C134">
        <v>1375</v>
      </c>
      <c r="D134">
        <v>153</v>
      </c>
      <c r="E134" t="s">
        <v>33</v>
      </c>
      <c r="F134">
        <v>154</v>
      </c>
      <c r="G134">
        <v>2047.5</v>
      </c>
      <c r="H134">
        <v>1805.1</v>
      </c>
      <c r="I134">
        <v>133</v>
      </c>
      <c r="J134">
        <v>-7.59</v>
      </c>
      <c r="K134">
        <v>2020</v>
      </c>
      <c r="L134">
        <v>3</v>
      </c>
      <c r="M134">
        <v>66</v>
      </c>
      <c r="N134" t="s">
        <v>21</v>
      </c>
      <c r="P134" t="s">
        <v>48</v>
      </c>
    </row>
    <row r="135" spans="1:16" x14ac:dyDescent="0.25">
      <c r="A135" t="s">
        <v>172</v>
      </c>
      <c r="B135">
        <v>2566</v>
      </c>
      <c r="C135">
        <v>1449</v>
      </c>
      <c r="D135">
        <v>163</v>
      </c>
      <c r="E135" t="s">
        <v>15</v>
      </c>
      <c r="F135">
        <v>145</v>
      </c>
      <c r="G135">
        <v>2007.5</v>
      </c>
      <c r="H135">
        <v>1803.12</v>
      </c>
      <c r="I135">
        <v>134</v>
      </c>
      <c r="J135">
        <v>-1.98</v>
      </c>
      <c r="K135" t="s">
        <v>16</v>
      </c>
      <c r="L135" t="s">
        <v>16</v>
      </c>
      <c r="M135" t="s">
        <v>16</v>
      </c>
      <c r="N135" t="s">
        <v>55</v>
      </c>
      <c r="P135" t="s">
        <v>46</v>
      </c>
    </row>
    <row r="136" spans="1:16" x14ac:dyDescent="0.25">
      <c r="A136" t="s">
        <v>173</v>
      </c>
      <c r="B136">
        <v>2817</v>
      </c>
      <c r="C136">
        <v>1322</v>
      </c>
      <c r="D136">
        <v>141</v>
      </c>
      <c r="E136" t="s">
        <v>33</v>
      </c>
      <c r="F136">
        <v>164</v>
      </c>
      <c r="G136">
        <v>2069.5</v>
      </c>
      <c r="H136">
        <v>1802.13</v>
      </c>
      <c r="I136">
        <v>135</v>
      </c>
      <c r="J136">
        <v>-0.99</v>
      </c>
      <c r="K136">
        <v>2021</v>
      </c>
      <c r="L136">
        <v>6</v>
      </c>
      <c r="M136">
        <v>217</v>
      </c>
      <c r="N136" t="s">
        <v>40</v>
      </c>
      <c r="P136" t="s">
        <v>44</v>
      </c>
    </row>
    <row r="137" spans="1:16" x14ac:dyDescent="0.25">
      <c r="A137" t="s">
        <v>174</v>
      </c>
      <c r="B137">
        <v>2646</v>
      </c>
      <c r="C137">
        <v>1404</v>
      </c>
      <c r="D137">
        <v>160</v>
      </c>
      <c r="E137" t="s">
        <v>20</v>
      </c>
      <c r="F137">
        <v>149</v>
      </c>
      <c r="G137">
        <v>2025</v>
      </c>
      <c r="H137">
        <v>1799.82</v>
      </c>
      <c r="I137">
        <v>136</v>
      </c>
      <c r="J137">
        <v>-2.31</v>
      </c>
      <c r="K137">
        <v>2017</v>
      </c>
      <c r="L137">
        <v>2</v>
      </c>
      <c r="M137">
        <v>62</v>
      </c>
      <c r="N137" t="s">
        <v>34</v>
      </c>
      <c r="P137" t="s">
        <v>41</v>
      </c>
    </row>
    <row r="138" spans="1:16" x14ac:dyDescent="0.25">
      <c r="A138" t="s">
        <v>175</v>
      </c>
      <c r="B138">
        <v>2752</v>
      </c>
      <c r="C138">
        <v>1344</v>
      </c>
      <c r="D138">
        <v>149</v>
      </c>
      <c r="E138" t="s">
        <v>20</v>
      </c>
      <c r="F138">
        <v>161</v>
      </c>
      <c r="G138">
        <v>2048</v>
      </c>
      <c r="H138">
        <v>1795.2</v>
      </c>
      <c r="I138">
        <v>137</v>
      </c>
      <c r="J138">
        <v>-4.62</v>
      </c>
      <c r="K138">
        <v>2015</v>
      </c>
      <c r="L138">
        <v>3</v>
      </c>
      <c r="M138">
        <v>69</v>
      </c>
      <c r="N138" t="s">
        <v>34</v>
      </c>
      <c r="P138" t="s">
        <v>38</v>
      </c>
    </row>
    <row r="139" spans="1:16" x14ac:dyDescent="0.25">
      <c r="A139" t="s">
        <v>176</v>
      </c>
      <c r="B139">
        <v>2728</v>
      </c>
      <c r="C139">
        <v>1352</v>
      </c>
      <c r="D139">
        <v>151</v>
      </c>
      <c r="E139" t="s">
        <v>63</v>
      </c>
      <c r="F139">
        <v>159</v>
      </c>
      <c r="G139">
        <v>2040</v>
      </c>
      <c r="H139">
        <v>1792.56</v>
      </c>
      <c r="I139">
        <v>138</v>
      </c>
      <c r="J139">
        <v>-2.64</v>
      </c>
      <c r="K139">
        <v>2017</v>
      </c>
      <c r="L139">
        <v>1</v>
      </c>
      <c r="M139">
        <v>29</v>
      </c>
      <c r="N139" t="s">
        <v>21</v>
      </c>
      <c r="P139" t="s">
        <v>342</v>
      </c>
    </row>
    <row r="140" spans="1:16" x14ac:dyDescent="0.25">
      <c r="A140" t="s">
        <v>177</v>
      </c>
      <c r="B140">
        <v>2768</v>
      </c>
      <c r="C140">
        <v>1305</v>
      </c>
      <c r="D140">
        <v>147</v>
      </c>
      <c r="E140" t="s">
        <v>20</v>
      </c>
      <c r="F140">
        <v>165</v>
      </c>
      <c r="G140">
        <v>2036.5</v>
      </c>
      <c r="H140">
        <v>1774.74</v>
      </c>
      <c r="I140">
        <v>139</v>
      </c>
      <c r="J140">
        <v>-17.82</v>
      </c>
      <c r="K140">
        <v>2020</v>
      </c>
      <c r="L140">
        <v>4</v>
      </c>
      <c r="M140">
        <v>128</v>
      </c>
      <c r="N140" t="s">
        <v>34</v>
      </c>
      <c r="P140" t="s">
        <v>341</v>
      </c>
    </row>
    <row r="141" spans="1:16" x14ac:dyDescent="0.25">
      <c r="A141" t="s">
        <v>178</v>
      </c>
      <c r="B141">
        <v>2463</v>
      </c>
      <c r="C141">
        <v>1425</v>
      </c>
      <c r="D141">
        <v>169</v>
      </c>
      <c r="E141" t="s">
        <v>15</v>
      </c>
      <c r="F141">
        <v>148</v>
      </c>
      <c r="G141">
        <v>1944</v>
      </c>
      <c r="H141">
        <v>1753.29</v>
      </c>
      <c r="I141">
        <v>140</v>
      </c>
      <c r="J141">
        <v>-21.45</v>
      </c>
      <c r="K141" t="s">
        <v>16</v>
      </c>
      <c r="L141" t="s">
        <v>16</v>
      </c>
      <c r="M141" t="s">
        <v>16</v>
      </c>
      <c r="N141" t="s">
        <v>34</v>
      </c>
      <c r="P141" t="s">
        <v>342</v>
      </c>
    </row>
    <row r="142" spans="1:16" x14ac:dyDescent="0.25">
      <c r="A142" t="s">
        <v>179</v>
      </c>
      <c r="B142">
        <v>2781</v>
      </c>
      <c r="C142">
        <v>1206</v>
      </c>
      <c r="D142">
        <v>144</v>
      </c>
      <c r="E142" t="s">
        <v>20</v>
      </c>
      <c r="F142">
        <v>169</v>
      </c>
      <c r="G142">
        <v>1993.5</v>
      </c>
      <c r="H142">
        <v>1713.69</v>
      </c>
      <c r="I142">
        <v>141</v>
      </c>
      <c r="J142">
        <v>-39.6</v>
      </c>
      <c r="K142" t="s">
        <v>16</v>
      </c>
      <c r="L142" t="s">
        <v>16</v>
      </c>
      <c r="M142" t="s">
        <v>16</v>
      </c>
      <c r="N142" t="s">
        <v>21</v>
      </c>
      <c r="P142" t="s">
        <v>28</v>
      </c>
    </row>
    <row r="143" spans="1:16" x14ac:dyDescent="0.25">
      <c r="A143" t="s">
        <v>180</v>
      </c>
      <c r="B143">
        <v>2397</v>
      </c>
      <c r="C143">
        <v>1371</v>
      </c>
      <c r="D143">
        <v>171</v>
      </c>
      <c r="E143" t="s">
        <v>20</v>
      </c>
      <c r="F143">
        <v>156</v>
      </c>
      <c r="G143">
        <v>1884</v>
      </c>
      <c r="H143">
        <v>1695.87</v>
      </c>
      <c r="I143">
        <v>142</v>
      </c>
      <c r="J143">
        <v>-17.82</v>
      </c>
      <c r="K143">
        <v>2014</v>
      </c>
      <c r="L143">
        <v>1</v>
      </c>
      <c r="M143">
        <v>20</v>
      </c>
      <c r="N143" t="s">
        <v>43</v>
      </c>
      <c r="P143" t="s">
        <v>25</v>
      </c>
    </row>
    <row r="144" spans="1:16" x14ac:dyDescent="0.25">
      <c r="A144" t="s">
        <v>181</v>
      </c>
      <c r="B144">
        <v>2762</v>
      </c>
      <c r="C144">
        <v>1173</v>
      </c>
      <c r="D144">
        <v>148</v>
      </c>
      <c r="E144" t="s">
        <v>20</v>
      </c>
      <c r="F144">
        <v>171</v>
      </c>
      <c r="G144">
        <v>1967.5</v>
      </c>
      <c r="H144">
        <v>1685.64</v>
      </c>
      <c r="I144">
        <v>143</v>
      </c>
      <c r="J144">
        <v>-10.23</v>
      </c>
      <c r="K144" t="s">
        <v>16</v>
      </c>
      <c r="L144" t="s">
        <v>16</v>
      </c>
      <c r="M144" t="s">
        <v>16</v>
      </c>
      <c r="N144" t="s">
        <v>17</v>
      </c>
      <c r="P144" t="s">
        <v>22</v>
      </c>
    </row>
    <row r="145" spans="1:16" x14ac:dyDescent="0.25">
      <c r="A145" t="s">
        <v>182</v>
      </c>
      <c r="B145">
        <v>2682</v>
      </c>
      <c r="C145">
        <v>1154</v>
      </c>
      <c r="D145">
        <v>157</v>
      </c>
      <c r="E145" t="s">
        <v>63</v>
      </c>
      <c r="F145">
        <v>173</v>
      </c>
      <c r="G145">
        <v>1918</v>
      </c>
      <c r="H145">
        <v>1646.7</v>
      </c>
      <c r="I145">
        <v>144</v>
      </c>
      <c r="J145">
        <v>-38.94</v>
      </c>
      <c r="K145">
        <v>2020</v>
      </c>
      <c r="L145">
        <v>2</v>
      </c>
      <c r="M145">
        <v>43</v>
      </c>
      <c r="N145" t="s">
        <v>30</v>
      </c>
      <c r="P145" t="s">
        <v>18</v>
      </c>
    </row>
    <row r="146" spans="1:16" x14ac:dyDescent="0.25">
      <c r="A146" t="s">
        <v>183</v>
      </c>
      <c r="B146">
        <v>2616</v>
      </c>
      <c r="C146">
        <v>1170</v>
      </c>
      <c r="D146">
        <v>161</v>
      </c>
      <c r="E146" t="s">
        <v>33</v>
      </c>
      <c r="F146">
        <v>172</v>
      </c>
      <c r="G146">
        <v>1893</v>
      </c>
      <c r="H146">
        <v>1635.48</v>
      </c>
      <c r="I146">
        <v>145</v>
      </c>
      <c r="J146">
        <v>-11.22</v>
      </c>
      <c r="K146" t="s">
        <v>16</v>
      </c>
      <c r="L146" t="s">
        <v>16</v>
      </c>
      <c r="M146" t="s">
        <v>16</v>
      </c>
      <c r="N146" t="s">
        <v>17</v>
      </c>
    </row>
    <row r="147" spans="1:16" x14ac:dyDescent="0.25">
      <c r="A147" t="s">
        <v>184</v>
      </c>
      <c r="B147">
        <v>2660</v>
      </c>
      <c r="C147">
        <v>1064</v>
      </c>
      <c r="D147">
        <v>158</v>
      </c>
      <c r="E147" t="s">
        <v>20</v>
      </c>
      <c r="F147">
        <v>181</v>
      </c>
      <c r="G147">
        <v>1862</v>
      </c>
      <c r="H147">
        <v>1580.04</v>
      </c>
      <c r="I147">
        <v>146</v>
      </c>
      <c r="J147">
        <v>-55.44</v>
      </c>
      <c r="K147">
        <v>2020</v>
      </c>
      <c r="L147">
        <v>5</v>
      </c>
      <c r="M147">
        <v>173</v>
      </c>
      <c r="N147" t="s">
        <v>37</v>
      </c>
    </row>
    <row r="148" spans="1:16" x14ac:dyDescent="0.25">
      <c r="A148" t="s">
        <v>185</v>
      </c>
      <c r="B148">
        <v>2614</v>
      </c>
      <c r="C148">
        <v>1071</v>
      </c>
      <c r="D148">
        <v>162</v>
      </c>
      <c r="E148" t="s">
        <v>20</v>
      </c>
      <c r="F148">
        <v>180</v>
      </c>
      <c r="G148">
        <v>1842.5</v>
      </c>
      <c r="H148">
        <v>1569.48</v>
      </c>
      <c r="I148">
        <v>147</v>
      </c>
      <c r="J148">
        <v>-10.56</v>
      </c>
      <c r="K148" t="s">
        <v>16</v>
      </c>
      <c r="L148" t="s">
        <v>16</v>
      </c>
      <c r="M148" t="s">
        <v>16</v>
      </c>
      <c r="N148" t="s">
        <v>17</v>
      </c>
    </row>
    <row r="149" spans="1:16" x14ac:dyDescent="0.25">
      <c r="A149" t="s">
        <v>186</v>
      </c>
      <c r="B149">
        <v>2720</v>
      </c>
      <c r="C149">
        <v>1017</v>
      </c>
      <c r="D149">
        <v>154</v>
      </c>
      <c r="E149" t="s">
        <v>20</v>
      </c>
      <c r="F149">
        <v>187</v>
      </c>
      <c r="G149">
        <v>1868.5</v>
      </c>
      <c r="H149">
        <v>1568.82</v>
      </c>
      <c r="I149">
        <v>148</v>
      </c>
      <c r="J149">
        <v>-0.66</v>
      </c>
      <c r="K149">
        <v>2022</v>
      </c>
      <c r="L149">
        <v>2</v>
      </c>
      <c r="M149">
        <v>54</v>
      </c>
      <c r="N149" t="s">
        <v>43</v>
      </c>
    </row>
    <row r="150" spans="1:16" x14ac:dyDescent="0.25">
      <c r="A150" t="s">
        <v>187</v>
      </c>
      <c r="B150">
        <v>2523</v>
      </c>
      <c r="C150">
        <v>1080</v>
      </c>
      <c r="D150">
        <v>167</v>
      </c>
      <c r="E150" t="s">
        <v>63</v>
      </c>
      <c r="F150">
        <v>178</v>
      </c>
      <c r="G150">
        <v>1801.5</v>
      </c>
      <c r="H150">
        <v>1545.39</v>
      </c>
      <c r="I150">
        <v>149</v>
      </c>
      <c r="J150">
        <v>-23.43</v>
      </c>
      <c r="K150">
        <v>2018</v>
      </c>
      <c r="L150">
        <v>4</v>
      </c>
      <c r="M150">
        <v>137</v>
      </c>
      <c r="N150" t="s">
        <v>24</v>
      </c>
    </row>
    <row r="151" spans="1:16" x14ac:dyDescent="0.25">
      <c r="A151" t="s">
        <v>188</v>
      </c>
      <c r="B151">
        <v>2650</v>
      </c>
      <c r="C151">
        <v>1009</v>
      </c>
      <c r="D151">
        <v>159</v>
      </c>
      <c r="E151" t="s">
        <v>20</v>
      </c>
      <c r="F151">
        <v>190</v>
      </c>
      <c r="G151">
        <v>1829.5</v>
      </c>
      <c r="H151">
        <v>1540.44</v>
      </c>
      <c r="I151">
        <v>150</v>
      </c>
      <c r="J151">
        <v>-4.95</v>
      </c>
      <c r="K151" t="s">
        <v>16</v>
      </c>
      <c r="L151" t="s">
        <v>16</v>
      </c>
      <c r="M151" t="s">
        <v>16</v>
      </c>
      <c r="N151" t="s">
        <v>24</v>
      </c>
    </row>
    <row r="152" spans="1:16" x14ac:dyDescent="0.25">
      <c r="A152" t="s">
        <v>189</v>
      </c>
      <c r="B152">
        <v>2770</v>
      </c>
      <c r="C152">
        <v>932</v>
      </c>
      <c r="D152">
        <v>146</v>
      </c>
      <c r="E152" t="s">
        <v>20</v>
      </c>
      <c r="F152">
        <v>202</v>
      </c>
      <c r="G152">
        <v>1851</v>
      </c>
      <c r="H152">
        <v>1529.22</v>
      </c>
      <c r="I152">
        <v>151</v>
      </c>
      <c r="J152">
        <v>-11.22</v>
      </c>
      <c r="K152">
        <v>2022</v>
      </c>
      <c r="L152">
        <v>2</v>
      </c>
      <c r="M152">
        <v>43</v>
      </c>
      <c r="N152" t="s">
        <v>55</v>
      </c>
    </row>
    <row r="153" spans="1:16" x14ac:dyDescent="0.25">
      <c r="A153" t="s">
        <v>190</v>
      </c>
      <c r="B153">
        <v>2549</v>
      </c>
      <c r="C153">
        <v>1011</v>
      </c>
      <c r="D153">
        <v>165</v>
      </c>
      <c r="E153" t="s">
        <v>20</v>
      </c>
      <c r="F153">
        <v>189</v>
      </c>
      <c r="G153">
        <v>1780</v>
      </c>
      <c r="H153">
        <v>1508.43</v>
      </c>
      <c r="I153">
        <v>152</v>
      </c>
      <c r="J153">
        <v>-20.79</v>
      </c>
      <c r="K153">
        <v>2022</v>
      </c>
      <c r="L153">
        <v>2</v>
      </c>
      <c r="M153">
        <v>53</v>
      </c>
      <c r="N153" t="s">
        <v>17</v>
      </c>
    </row>
    <row r="154" spans="1:16" x14ac:dyDescent="0.25">
      <c r="A154" t="s">
        <v>191</v>
      </c>
      <c r="B154">
        <v>2389</v>
      </c>
      <c r="C154">
        <v>1042</v>
      </c>
      <c r="D154">
        <v>172</v>
      </c>
      <c r="E154" t="s">
        <v>33</v>
      </c>
      <c r="F154">
        <v>184</v>
      </c>
      <c r="G154">
        <v>1715.5</v>
      </c>
      <c r="H154">
        <v>1476.09</v>
      </c>
      <c r="I154">
        <v>153</v>
      </c>
      <c r="J154">
        <v>-32.340000000000003</v>
      </c>
      <c r="K154">
        <v>2017</v>
      </c>
      <c r="L154">
        <v>4</v>
      </c>
      <c r="M154">
        <v>134</v>
      </c>
      <c r="N154" t="s">
        <v>40</v>
      </c>
    </row>
    <row r="155" spans="1:16" x14ac:dyDescent="0.25">
      <c r="A155" t="s">
        <v>192</v>
      </c>
      <c r="B155">
        <v>2526</v>
      </c>
      <c r="C155">
        <v>953</v>
      </c>
      <c r="D155">
        <v>166</v>
      </c>
      <c r="E155" t="s">
        <v>63</v>
      </c>
      <c r="F155">
        <v>200</v>
      </c>
      <c r="G155">
        <v>1739.5</v>
      </c>
      <c r="H155">
        <v>1462.56</v>
      </c>
      <c r="I155">
        <v>154</v>
      </c>
      <c r="J155">
        <v>-13.53</v>
      </c>
      <c r="K155">
        <v>2022</v>
      </c>
      <c r="L155">
        <v>2</v>
      </c>
      <c r="M155">
        <v>55</v>
      </c>
      <c r="N155" t="s">
        <v>21</v>
      </c>
    </row>
    <row r="156" spans="1:16" x14ac:dyDescent="0.25">
      <c r="A156" t="s">
        <v>193</v>
      </c>
      <c r="B156">
        <v>2290</v>
      </c>
      <c r="C156">
        <v>1048</v>
      </c>
      <c r="D156">
        <v>177</v>
      </c>
      <c r="E156" t="s">
        <v>33</v>
      </c>
      <c r="F156">
        <v>183</v>
      </c>
      <c r="G156">
        <v>1669</v>
      </c>
      <c r="H156">
        <v>1447.38</v>
      </c>
      <c r="I156">
        <v>155</v>
      </c>
      <c r="J156">
        <v>-15.18</v>
      </c>
      <c r="K156">
        <v>2021</v>
      </c>
      <c r="L156">
        <v>6</v>
      </c>
      <c r="M156">
        <v>194</v>
      </c>
      <c r="N156" t="s">
        <v>37</v>
      </c>
    </row>
    <row r="157" spans="1:16" x14ac:dyDescent="0.25">
      <c r="A157" t="s">
        <v>194</v>
      </c>
      <c r="B157">
        <v>2334</v>
      </c>
      <c r="C157">
        <v>1015</v>
      </c>
      <c r="D157">
        <v>175</v>
      </c>
      <c r="E157" t="s">
        <v>63</v>
      </c>
      <c r="F157">
        <v>188</v>
      </c>
      <c r="G157">
        <v>1674.5</v>
      </c>
      <c r="H157">
        <v>1440.12</v>
      </c>
      <c r="I157">
        <v>156</v>
      </c>
      <c r="J157">
        <v>-7.26</v>
      </c>
      <c r="K157" t="s">
        <v>16</v>
      </c>
      <c r="L157" t="s">
        <v>16</v>
      </c>
      <c r="M157" t="s">
        <v>16</v>
      </c>
      <c r="N157" t="s">
        <v>55</v>
      </c>
    </row>
    <row r="158" spans="1:16" x14ac:dyDescent="0.25">
      <c r="A158" t="s">
        <v>195</v>
      </c>
      <c r="B158">
        <v>2370</v>
      </c>
      <c r="C158">
        <v>987</v>
      </c>
      <c r="D158">
        <v>174</v>
      </c>
      <c r="E158" t="s">
        <v>20</v>
      </c>
      <c r="F158">
        <v>195</v>
      </c>
      <c r="G158">
        <v>1678.5</v>
      </c>
      <c r="H158">
        <v>1433.52</v>
      </c>
      <c r="I158">
        <v>157</v>
      </c>
      <c r="J158">
        <v>-6.6</v>
      </c>
      <c r="K158">
        <v>2021</v>
      </c>
      <c r="L158">
        <v>2</v>
      </c>
      <c r="M158">
        <v>49</v>
      </c>
      <c r="N158" t="s">
        <v>34</v>
      </c>
    </row>
    <row r="159" spans="1:16" x14ac:dyDescent="0.25">
      <c r="A159" t="s">
        <v>196</v>
      </c>
      <c r="B159">
        <v>2521</v>
      </c>
      <c r="C159">
        <v>874</v>
      </c>
      <c r="D159">
        <v>168</v>
      </c>
      <c r="E159" t="s">
        <v>20</v>
      </c>
      <c r="F159">
        <v>211</v>
      </c>
      <c r="G159">
        <v>1697.5</v>
      </c>
      <c r="H159">
        <v>1408.77</v>
      </c>
      <c r="I159">
        <v>158</v>
      </c>
      <c r="J159">
        <v>-24.75</v>
      </c>
      <c r="K159">
        <v>2022</v>
      </c>
      <c r="L159">
        <v>4</v>
      </c>
      <c r="M159">
        <v>132</v>
      </c>
      <c r="N159" t="s">
        <v>40</v>
      </c>
    </row>
    <row r="160" spans="1:16" x14ac:dyDescent="0.25">
      <c r="A160" t="s">
        <v>197</v>
      </c>
      <c r="B160">
        <v>2329</v>
      </c>
      <c r="C160">
        <v>942</v>
      </c>
      <c r="D160">
        <v>176</v>
      </c>
      <c r="E160" t="s">
        <v>33</v>
      </c>
      <c r="F160">
        <v>201</v>
      </c>
      <c r="G160">
        <v>1635.5</v>
      </c>
      <c r="H160">
        <v>1390.29</v>
      </c>
      <c r="I160">
        <v>159</v>
      </c>
      <c r="J160">
        <v>-18.48</v>
      </c>
      <c r="K160">
        <v>2022</v>
      </c>
      <c r="L160">
        <v>5</v>
      </c>
      <c r="M160">
        <v>151</v>
      </c>
      <c r="N160" t="s">
        <v>34</v>
      </c>
    </row>
    <row r="161" spans="1:14" x14ac:dyDescent="0.25">
      <c r="A161" t="s">
        <v>198</v>
      </c>
      <c r="B161">
        <v>1978</v>
      </c>
      <c r="C161">
        <v>1107</v>
      </c>
      <c r="D161">
        <v>199</v>
      </c>
      <c r="E161" t="s">
        <v>20</v>
      </c>
      <c r="F161">
        <v>176</v>
      </c>
      <c r="G161">
        <v>1542.5</v>
      </c>
      <c r="H161">
        <v>1383.36</v>
      </c>
      <c r="I161">
        <v>160</v>
      </c>
      <c r="J161">
        <v>-6.93</v>
      </c>
      <c r="K161" t="s">
        <v>16</v>
      </c>
      <c r="L161" t="s">
        <v>16</v>
      </c>
      <c r="M161" t="s">
        <v>16</v>
      </c>
      <c r="N161" t="s">
        <v>27</v>
      </c>
    </row>
    <row r="162" spans="1:14" x14ac:dyDescent="0.25">
      <c r="A162" t="s">
        <v>199</v>
      </c>
      <c r="B162">
        <v>2209</v>
      </c>
      <c r="C162">
        <v>980</v>
      </c>
      <c r="D162">
        <v>181</v>
      </c>
      <c r="E162" t="s">
        <v>20</v>
      </c>
      <c r="F162">
        <v>196</v>
      </c>
      <c r="G162">
        <v>1594.5</v>
      </c>
      <c r="H162">
        <v>1375.77</v>
      </c>
      <c r="I162">
        <v>161</v>
      </c>
      <c r="J162">
        <v>-7.59</v>
      </c>
      <c r="K162" t="s">
        <v>16</v>
      </c>
      <c r="L162" t="s">
        <v>16</v>
      </c>
      <c r="M162" t="s">
        <v>16</v>
      </c>
      <c r="N162" t="s">
        <v>37</v>
      </c>
    </row>
    <row r="163" spans="1:14" x14ac:dyDescent="0.25">
      <c r="A163" t="s">
        <v>200</v>
      </c>
      <c r="B163">
        <v>2037</v>
      </c>
      <c r="C163">
        <v>1059</v>
      </c>
      <c r="D163">
        <v>192</v>
      </c>
      <c r="E163" t="s">
        <v>20</v>
      </c>
      <c r="F163">
        <v>182</v>
      </c>
      <c r="G163">
        <v>1548</v>
      </c>
      <c r="H163">
        <v>1371.15</v>
      </c>
      <c r="I163">
        <v>162</v>
      </c>
      <c r="J163">
        <v>-4.62</v>
      </c>
      <c r="K163">
        <v>2016</v>
      </c>
      <c r="L163">
        <v>2</v>
      </c>
      <c r="M163">
        <v>47</v>
      </c>
      <c r="N163" t="s">
        <v>43</v>
      </c>
    </row>
    <row r="164" spans="1:14" x14ac:dyDescent="0.25">
      <c r="A164" t="s">
        <v>201</v>
      </c>
      <c r="B164">
        <v>1999</v>
      </c>
      <c r="C164">
        <v>1078</v>
      </c>
      <c r="D164">
        <v>196</v>
      </c>
      <c r="E164" t="s">
        <v>15</v>
      </c>
      <c r="F164">
        <v>179</v>
      </c>
      <c r="G164">
        <v>1538.5</v>
      </c>
      <c r="H164">
        <v>1371.15</v>
      </c>
      <c r="I164">
        <v>163</v>
      </c>
      <c r="J164">
        <v>0</v>
      </c>
      <c r="K164">
        <v>2012</v>
      </c>
      <c r="L164">
        <v>1</v>
      </c>
      <c r="M164">
        <v>8</v>
      </c>
      <c r="N164" t="s">
        <v>24</v>
      </c>
    </row>
    <row r="165" spans="1:14" x14ac:dyDescent="0.25">
      <c r="A165" t="s">
        <v>202</v>
      </c>
      <c r="B165">
        <v>2210</v>
      </c>
      <c r="C165">
        <v>969</v>
      </c>
      <c r="D165">
        <v>180</v>
      </c>
      <c r="E165" t="s">
        <v>20</v>
      </c>
      <c r="F165">
        <v>198</v>
      </c>
      <c r="G165">
        <v>1589.5</v>
      </c>
      <c r="H165">
        <v>1368.84</v>
      </c>
      <c r="I165">
        <v>164</v>
      </c>
      <c r="J165">
        <v>-2.31</v>
      </c>
      <c r="K165">
        <v>2020</v>
      </c>
      <c r="L165">
        <v>2</v>
      </c>
      <c r="M165">
        <v>49</v>
      </c>
      <c r="N165" t="s">
        <v>24</v>
      </c>
    </row>
    <row r="166" spans="1:14" x14ac:dyDescent="0.25">
      <c r="A166" t="s">
        <v>203</v>
      </c>
      <c r="B166">
        <v>2035</v>
      </c>
      <c r="C166">
        <v>999</v>
      </c>
      <c r="D166">
        <v>193</v>
      </c>
      <c r="E166" t="s">
        <v>15</v>
      </c>
      <c r="F166">
        <v>192</v>
      </c>
      <c r="G166">
        <v>1517</v>
      </c>
      <c r="H166">
        <v>1330.89</v>
      </c>
      <c r="I166">
        <v>165</v>
      </c>
      <c r="J166">
        <v>-37.950000000000003</v>
      </c>
      <c r="K166">
        <v>2018</v>
      </c>
      <c r="L166">
        <v>1</v>
      </c>
      <c r="M166">
        <v>1</v>
      </c>
      <c r="N166" t="s">
        <v>43</v>
      </c>
    </row>
    <row r="167" spans="1:14" x14ac:dyDescent="0.25">
      <c r="A167" t="s">
        <v>204</v>
      </c>
      <c r="B167">
        <v>2177</v>
      </c>
      <c r="C167">
        <v>910</v>
      </c>
      <c r="D167">
        <v>183</v>
      </c>
      <c r="E167" t="s">
        <v>20</v>
      </c>
      <c r="F167">
        <v>205</v>
      </c>
      <c r="G167">
        <v>1543.5</v>
      </c>
      <c r="H167">
        <v>1319.01</v>
      </c>
      <c r="I167">
        <v>166</v>
      </c>
      <c r="J167">
        <v>-11.88</v>
      </c>
      <c r="K167">
        <v>2021</v>
      </c>
      <c r="L167">
        <v>3</v>
      </c>
      <c r="M167">
        <v>89</v>
      </c>
      <c r="N167" t="s">
        <v>27</v>
      </c>
    </row>
    <row r="168" spans="1:14" x14ac:dyDescent="0.25">
      <c r="A168" t="s">
        <v>205</v>
      </c>
      <c r="B168">
        <v>2129</v>
      </c>
      <c r="C168">
        <v>920</v>
      </c>
      <c r="D168">
        <v>187</v>
      </c>
      <c r="E168" t="s">
        <v>33</v>
      </c>
      <c r="F168">
        <v>204</v>
      </c>
      <c r="G168">
        <v>1524.5</v>
      </c>
      <c r="H168">
        <v>1309.77</v>
      </c>
      <c r="I168">
        <v>167</v>
      </c>
      <c r="J168">
        <v>-9.24</v>
      </c>
      <c r="K168">
        <v>2019</v>
      </c>
      <c r="L168">
        <v>3</v>
      </c>
      <c r="M168">
        <v>87</v>
      </c>
      <c r="N168" t="s">
        <v>27</v>
      </c>
    </row>
    <row r="169" spans="1:14" x14ac:dyDescent="0.25">
      <c r="A169" t="s">
        <v>206</v>
      </c>
      <c r="B169">
        <v>2386</v>
      </c>
      <c r="C169">
        <v>781</v>
      </c>
      <c r="D169">
        <v>173</v>
      </c>
      <c r="E169" t="s">
        <v>63</v>
      </c>
      <c r="F169">
        <v>226</v>
      </c>
      <c r="G169">
        <v>1583.5</v>
      </c>
      <c r="H169">
        <v>1302.8399999999999</v>
      </c>
      <c r="I169">
        <v>168</v>
      </c>
      <c r="J169">
        <v>-6.93</v>
      </c>
      <c r="K169">
        <v>2022</v>
      </c>
      <c r="L169">
        <v>4</v>
      </c>
      <c r="M169">
        <v>139</v>
      </c>
      <c r="N169" t="s">
        <v>43</v>
      </c>
    </row>
    <row r="170" spans="1:14" x14ac:dyDescent="0.25">
      <c r="A170" t="s">
        <v>207</v>
      </c>
      <c r="B170">
        <v>2211</v>
      </c>
      <c r="C170">
        <v>859</v>
      </c>
      <c r="D170">
        <v>179</v>
      </c>
      <c r="E170" t="s">
        <v>33</v>
      </c>
      <c r="F170">
        <v>213</v>
      </c>
      <c r="G170">
        <v>1535</v>
      </c>
      <c r="H170">
        <v>1296.57</v>
      </c>
      <c r="I170">
        <v>169</v>
      </c>
      <c r="J170">
        <v>-6.27</v>
      </c>
      <c r="K170">
        <v>2018</v>
      </c>
      <c r="L170">
        <v>1</v>
      </c>
      <c r="M170">
        <v>27</v>
      </c>
      <c r="N170" t="s">
        <v>37</v>
      </c>
    </row>
    <row r="171" spans="1:14" x14ac:dyDescent="0.25">
      <c r="A171" t="s">
        <v>208</v>
      </c>
      <c r="B171">
        <v>1935</v>
      </c>
      <c r="C171">
        <v>993</v>
      </c>
      <c r="D171">
        <v>206</v>
      </c>
      <c r="E171" t="s">
        <v>20</v>
      </c>
      <c r="F171">
        <v>193</v>
      </c>
      <c r="G171">
        <v>1464</v>
      </c>
      <c r="H171">
        <v>1293.93</v>
      </c>
      <c r="I171">
        <v>170</v>
      </c>
      <c r="J171">
        <v>-2.64</v>
      </c>
      <c r="K171" t="s">
        <v>16</v>
      </c>
      <c r="L171" t="s">
        <v>16</v>
      </c>
      <c r="M171" t="s">
        <v>16</v>
      </c>
      <c r="N171" t="s">
        <v>27</v>
      </c>
    </row>
    <row r="172" spans="1:14" x14ac:dyDescent="0.25">
      <c r="A172" t="s">
        <v>209</v>
      </c>
      <c r="B172">
        <v>1912</v>
      </c>
      <c r="C172">
        <v>987</v>
      </c>
      <c r="D172">
        <v>208</v>
      </c>
      <c r="E172" t="s">
        <v>33</v>
      </c>
      <c r="F172">
        <v>194</v>
      </c>
      <c r="G172">
        <v>1449.5</v>
      </c>
      <c r="H172">
        <v>1282.3800000000001</v>
      </c>
      <c r="I172">
        <v>171</v>
      </c>
      <c r="J172">
        <v>-11.55</v>
      </c>
      <c r="K172">
        <v>2019</v>
      </c>
      <c r="L172">
        <v>3</v>
      </c>
      <c r="M172">
        <v>74</v>
      </c>
      <c r="N172" t="s">
        <v>30</v>
      </c>
    </row>
    <row r="173" spans="1:14" x14ac:dyDescent="0.25">
      <c r="A173" t="s">
        <v>210</v>
      </c>
      <c r="B173">
        <v>2199</v>
      </c>
      <c r="C173">
        <v>831</v>
      </c>
      <c r="D173">
        <v>182</v>
      </c>
      <c r="E173" t="s">
        <v>33</v>
      </c>
      <c r="F173">
        <v>219</v>
      </c>
      <c r="G173">
        <v>1515</v>
      </c>
      <c r="H173">
        <v>1274.1300000000001</v>
      </c>
      <c r="I173">
        <v>172</v>
      </c>
      <c r="J173">
        <v>-8.25</v>
      </c>
      <c r="K173" t="s">
        <v>16</v>
      </c>
      <c r="L173" t="s">
        <v>16</v>
      </c>
      <c r="M173" t="s">
        <v>16</v>
      </c>
      <c r="N173" t="s">
        <v>43</v>
      </c>
    </row>
    <row r="174" spans="1:14" x14ac:dyDescent="0.25">
      <c r="A174" t="s">
        <v>211</v>
      </c>
      <c r="B174">
        <v>2136</v>
      </c>
      <c r="C174">
        <v>832</v>
      </c>
      <c r="D174">
        <v>186</v>
      </c>
      <c r="E174" t="s">
        <v>20</v>
      </c>
      <c r="F174">
        <v>218</v>
      </c>
      <c r="G174">
        <v>1484</v>
      </c>
      <c r="H174">
        <v>1254</v>
      </c>
      <c r="I174">
        <v>173</v>
      </c>
      <c r="J174">
        <v>-20.13</v>
      </c>
      <c r="K174" t="s">
        <v>16</v>
      </c>
      <c r="L174" t="s">
        <v>16</v>
      </c>
      <c r="M174" t="s">
        <v>16</v>
      </c>
      <c r="N174" t="s">
        <v>21</v>
      </c>
    </row>
    <row r="175" spans="1:14" x14ac:dyDescent="0.25">
      <c r="A175" t="s">
        <v>212</v>
      </c>
      <c r="B175">
        <v>2024</v>
      </c>
      <c r="C175">
        <v>876</v>
      </c>
      <c r="D175">
        <v>194</v>
      </c>
      <c r="E175" t="s">
        <v>33</v>
      </c>
      <c r="F175">
        <v>210</v>
      </c>
      <c r="G175">
        <v>1450</v>
      </c>
      <c r="H175">
        <v>1246.08</v>
      </c>
      <c r="I175">
        <v>174</v>
      </c>
      <c r="J175">
        <v>-7.92</v>
      </c>
      <c r="K175">
        <v>2017</v>
      </c>
      <c r="L175">
        <v>4</v>
      </c>
      <c r="M175">
        <v>114</v>
      </c>
      <c r="N175" t="s">
        <v>21</v>
      </c>
    </row>
    <row r="176" spans="1:14" x14ac:dyDescent="0.25">
      <c r="A176" t="s">
        <v>213</v>
      </c>
      <c r="B176">
        <v>2109</v>
      </c>
      <c r="C176">
        <v>833</v>
      </c>
      <c r="D176">
        <v>189</v>
      </c>
      <c r="E176" t="s">
        <v>20</v>
      </c>
      <c r="F176">
        <v>217</v>
      </c>
      <c r="G176">
        <v>1471</v>
      </c>
      <c r="H176">
        <v>1245.75</v>
      </c>
      <c r="I176">
        <v>175</v>
      </c>
      <c r="J176">
        <v>-0.33</v>
      </c>
      <c r="K176">
        <v>2016</v>
      </c>
      <c r="L176">
        <v>2</v>
      </c>
      <c r="M176">
        <v>55</v>
      </c>
      <c r="N176" t="s">
        <v>40</v>
      </c>
    </row>
    <row r="177" spans="1:14" x14ac:dyDescent="0.25">
      <c r="A177" t="s">
        <v>214</v>
      </c>
      <c r="B177">
        <v>2145</v>
      </c>
      <c r="C177">
        <v>805</v>
      </c>
      <c r="D177">
        <v>184</v>
      </c>
      <c r="E177" t="s">
        <v>20</v>
      </c>
      <c r="F177">
        <v>223</v>
      </c>
      <c r="G177">
        <v>1475</v>
      </c>
      <c r="H177">
        <v>1239.1500000000001</v>
      </c>
      <c r="I177">
        <v>176</v>
      </c>
      <c r="J177">
        <v>-6.6</v>
      </c>
      <c r="K177">
        <v>2018</v>
      </c>
      <c r="L177">
        <v>2</v>
      </c>
      <c r="M177">
        <v>61</v>
      </c>
      <c r="N177" t="s">
        <v>17</v>
      </c>
    </row>
    <row r="178" spans="1:14" x14ac:dyDescent="0.25">
      <c r="A178" t="s">
        <v>215</v>
      </c>
      <c r="B178">
        <v>1929</v>
      </c>
      <c r="C178">
        <v>909</v>
      </c>
      <c r="D178">
        <v>207</v>
      </c>
      <c r="E178" t="s">
        <v>33</v>
      </c>
      <c r="F178">
        <v>206</v>
      </c>
      <c r="G178">
        <v>1419</v>
      </c>
      <c r="H178">
        <v>1236.51</v>
      </c>
      <c r="I178">
        <v>177</v>
      </c>
      <c r="J178">
        <v>-2.64</v>
      </c>
      <c r="K178" t="s">
        <v>16</v>
      </c>
      <c r="L178" t="s">
        <v>16</v>
      </c>
      <c r="M178" t="s">
        <v>16</v>
      </c>
      <c r="N178" t="s">
        <v>43</v>
      </c>
    </row>
    <row r="179" spans="1:14" x14ac:dyDescent="0.25">
      <c r="A179" t="s">
        <v>216</v>
      </c>
      <c r="B179">
        <v>2142</v>
      </c>
      <c r="C179">
        <v>782</v>
      </c>
      <c r="D179">
        <v>185</v>
      </c>
      <c r="E179" t="s">
        <v>63</v>
      </c>
      <c r="F179">
        <v>225</v>
      </c>
      <c r="G179">
        <v>1462</v>
      </c>
      <c r="H179">
        <v>1222.98</v>
      </c>
      <c r="I179">
        <v>178</v>
      </c>
      <c r="J179">
        <v>-13.53</v>
      </c>
      <c r="K179">
        <v>2019</v>
      </c>
      <c r="L179">
        <v>2</v>
      </c>
      <c r="M179">
        <v>50</v>
      </c>
      <c r="N179" t="s">
        <v>17</v>
      </c>
    </row>
    <row r="180" spans="1:14" x14ac:dyDescent="0.25">
      <c r="A180" t="s">
        <v>217</v>
      </c>
      <c r="B180">
        <v>2120</v>
      </c>
      <c r="C180">
        <v>727</v>
      </c>
      <c r="D180">
        <v>188</v>
      </c>
      <c r="E180" t="s">
        <v>33</v>
      </c>
      <c r="F180">
        <v>233</v>
      </c>
      <c r="G180">
        <v>1423.5</v>
      </c>
      <c r="H180">
        <v>1179.42</v>
      </c>
      <c r="I180">
        <v>179</v>
      </c>
      <c r="J180">
        <v>-43.56</v>
      </c>
      <c r="K180" t="s">
        <v>16</v>
      </c>
      <c r="L180" t="s">
        <v>16</v>
      </c>
      <c r="M180" t="s">
        <v>16</v>
      </c>
      <c r="N180" t="s">
        <v>21</v>
      </c>
    </row>
    <row r="181" spans="1:14" x14ac:dyDescent="0.25">
      <c r="A181" t="s">
        <v>218</v>
      </c>
      <c r="B181">
        <v>2079</v>
      </c>
      <c r="C181">
        <v>720</v>
      </c>
      <c r="D181">
        <v>190</v>
      </c>
      <c r="E181" t="s">
        <v>20</v>
      </c>
      <c r="F181">
        <v>236</v>
      </c>
      <c r="G181">
        <v>1399.5</v>
      </c>
      <c r="H181">
        <v>1161.27</v>
      </c>
      <c r="I181">
        <v>180</v>
      </c>
      <c r="J181">
        <v>-18.149999999999999</v>
      </c>
      <c r="K181">
        <v>2020</v>
      </c>
      <c r="L181">
        <v>6</v>
      </c>
      <c r="M181">
        <v>187</v>
      </c>
      <c r="N181" t="s">
        <v>40</v>
      </c>
    </row>
    <row r="182" spans="1:14" x14ac:dyDescent="0.25">
      <c r="A182" t="s">
        <v>219</v>
      </c>
      <c r="B182">
        <v>1883</v>
      </c>
      <c r="C182">
        <v>818</v>
      </c>
      <c r="D182">
        <v>214</v>
      </c>
      <c r="E182" t="s">
        <v>33</v>
      </c>
      <c r="F182">
        <v>221</v>
      </c>
      <c r="G182">
        <v>1350.5</v>
      </c>
      <c r="H182">
        <v>1161.27</v>
      </c>
      <c r="I182">
        <v>181</v>
      </c>
      <c r="J182">
        <v>0</v>
      </c>
      <c r="K182">
        <v>2017</v>
      </c>
      <c r="L182">
        <v>3</v>
      </c>
      <c r="M182">
        <v>89</v>
      </c>
      <c r="N182" t="s">
        <v>27</v>
      </c>
    </row>
    <row r="183" spans="1:14" x14ac:dyDescent="0.25">
      <c r="A183" t="s">
        <v>220</v>
      </c>
      <c r="B183">
        <v>2022</v>
      </c>
      <c r="C183">
        <v>722</v>
      </c>
      <c r="D183">
        <v>195</v>
      </c>
      <c r="E183" t="s">
        <v>33</v>
      </c>
      <c r="F183">
        <v>235</v>
      </c>
      <c r="G183">
        <v>1372</v>
      </c>
      <c r="H183">
        <v>1143.78</v>
      </c>
      <c r="I183">
        <v>182</v>
      </c>
      <c r="J183">
        <v>-17.489999999999998</v>
      </c>
      <c r="K183">
        <v>2021</v>
      </c>
      <c r="L183">
        <v>5</v>
      </c>
      <c r="M183">
        <v>150</v>
      </c>
      <c r="N183" t="s">
        <v>55</v>
      </c>
    </row>
    <row r="184" spans="1:14" x14ac:dyDescent="0.25">
      <c r="A184" t="s">
        <v>221</v>
      </c>
      <c r="B184">
        <v>1655</v>
      </c>
      <c r="C184">
        <v>905</v>
      </c>
      <c r="D184">
        <v>231</v>
      </c>
      <c r="E184" t="s">
        <v>33</v>
      </c>
      <c r="F184">
        <v>207</v>
      </c>
      <c r="G184">
        <v>1280</v>
      </c>
      <c r="H184">
        <v>1143.45</v>
      </c>
      <c r="I184">
        <v>183</v>
      </c>
      <c r="J184">
        <v>-0.33</v>
      </c>
      <c r="K184">
        <v>2016</v>
      </c>
      <c r="L184">
        <v>1</v>
      </c>
      <c r="M184">
        <v>4</v>
      </c>
      <c r="N184" t="s">
        <v>37</v>
      </c>
    </row>
    <row r="185" spans="1:14" x14ac:dyDescent="0.25">
      <c r="A185" t="s">
        <v>222</v>
      </c>
      <c r="B185">
        <v>1738</v>
      </c>
      <c r="C185">
        <v>850</v>
      </c>
      <c r="D185">
        <v>225</v>
      </c>
      <c r="E185" t="s">
        <v>20</v>
      </c>
      <c r="F185">
        <v>214</v>
      </c>
      <c r="G185">
        <v>1294</v>
      </c>
      <c r="H185">
        <v>1134.54</v>
      </c>
      <c r="I185">
        <v>184</v>
      </c>
      <c r="J185">
        <v>-8.91</v>
      </c>
      <c r="K185" t="s">
        <v>16</v>
      </c>
      <c r="L185" t="s">
        <v>16</v>
      </c>
      <c r="M185" t="s">
        <v>16</v>
      </c>
      <c r="N185" t="s">
        <v>27</v>
      </c>
    </row>
    <row r="186" spans="1:14" x14ac:dyDescent="0.25">
      <c r="A186" t="s">
        <v>223</v>
      </c>
      <c r="B186">
        <v>1737</v>
      </c>
      <c r="C186">
        <v>823</v>
      </c>
      <c r="D186">
        <v>226</v>
      </c>
      <c r="E186" t="s">
        <v>33</v>
      </c>
      <c r="F186">
        <v>220</v>
      </c>
      <c r="G186">
        <v>1280</v>
      </c>
      <c r="H186">
        <v>1116.3900000000001</v>
      </c>
      <c r="I186">
        <v>185</v>
      </c>
      <c r="J186">
        <v>-18.149999999999999</v>
      </c>
      <c r="K186">
        <v>2020</v>
      </c>
      <c r="L186">
        <v>1</v>
      </c>
      <c r="M186">
        <v>32</v>
      </c>
      <c r="N186" t="s">
        <v>17</v>
      </c>
    </row>
    <row r="187" spans="1:14" x14ac:dyDescent="0.25">
      <c r="A187" t="s">
        <v>224</v>
      </c>
      <c r="B187">
        <v>1835</v>
      </c>
      <c r="C187">
        <v>759</v>
      </c>
      <c r="D187">
        <v>217</v>
      </c>
      <c r="E187" t="s">
        <v>33</v>
      </c>
      <c r="F187">
        <v>228</v>
      </c>
      <c r="G187">
        <v>1297</v>
      </c>
      <c r="H187">
        <v>1106.49</v>
      </c>
      <c r="I187">
        <v>186</v>
      </c>
      <c r="J187">
        <v>-9.9</v>
      </c>
      <c r="K187" t="s">
        <v>16</v>
      </c>
      <c r="L187" t="s">
        <v>16</v>
      </c>
      <c r="M187" t="s">
        <v>16</v>
      </c>
      <c r="N187" t="s">
        <v>55</v>
      </c>
    </row>
    <row r="188" spans="1:14" x14ac:dyDescent="0.25">
      <c r="A188" t="s">
        <v>225</v>
      </c>
      <c r="B188">
        <v>1869</v>
      </c>
      <c r="C188">
        <v>740</v>
      </c>
      <c r="D188">
        <v>215</v>
      </c>
      <c r="E188" t="s">
        <v>63</v>
      </c>
      <c r="F188">
        <v>232</v>
      </c>
      <c r="G188">
        <v>1304.5</v>
      </c>
      <c r="H188">
        <v>1105.17</v>
      </c>
      <c r="I188">
        <v>187</v>
      </c>
      <c r="J188">
        <v>-1.32</v>
      </c>
      <c r="K188" t="s">
        <v>16</v>
      </c>
      <c r="L188" t="s">
        <v>16</v>
      </c>
      <c r="M188" t="s">
        <v>16</v>
      </c>
      <c r="N188" t="s">
        <v>27</v>
      </c>
    </row>
    <row r="189" spans="1:14" x14ac:dyDescent="0.25">
      <c r="A189" t="s">
        <v>226</v>
      </c>
      <c r="B189">
        <v>1811</v>
      </c>
      <c r="C189">
        <v>765</v>
      </c>
      <c r="D189">
        <v>219</v>
      </c>
      <c r="E189" t="s">
        <v>63</v>
      </c>
      <c r="F189">
        <v>227</v>
      </c>
      <c r="G189">
        <v>1288</v>
      </c>
      <c r="H189">
        <v>1102.53</v>
      </c>
      <c r="I189">
        <v>188</v>
      </c>
      <c r="J189">
        <v>-2.64</v>
      </c>
      <c r="K189">
        <v>2018</v>
      </c>
      <c r="L189">
        <v>2</v>
      </c>
      <c r="M189">
        <v>42</v>
      </c>
      <c r="N189" t="s">
        <v>17</v>
      </c>
    </row>
    <row r="190" spans="1:14" x14ac:dyDescent="0.25">
      <c r="A190" t="s">
        <v>227</v>
      </c>
      <c r="B190">
        <v>1999</v>
      </c>
      <c r="C190">
        <v>647</v>
      </c>
      <c r="D190">
        <v>197</v>
      </c>
      <c r="E190" t="s">
        <v>63</v>
      </c>
      <c r="F190">
        <v>241</v>
      </c>
      <c r="G190">
        <v>1323</v>
      </c>
      <c r="H190">
        <v>1086.69</v>
      </c>
      <c r="I190">
        <v>189</v>
      </c>
      <c r="J190">
        <v>-15.84</v>
      </c>
      <c r="K190">
        <v>2019</v>
      </c>
      <c r="L190">
        <v>3</v>
      </c>
      <c r="M190">
        <v>96</v>
      </c>
      <c r="N190" t="s">
        <v>17</v>
      </c>
    </row>
    <row r="191" spans="1:14" x14ac:dyDescent="0.25">
      <c r="A191" t="s">
        <v>228</v>
      </c>
      <c r="B191">
        <v>1533</v>
      </c>
      <c r="C191">
        <v>845</v>
      </c>
      <c r="D191">
        <v>243</v>
      </c>
      <c r="E191" t="s">
        <v>33</v>
      </c>
      <c r="F191">
        <v>215</v>
      </c>
      <c r="G191">
        <v>1189</v>
      </c>
      <c r="H191">
        <v>1063.5899999999999</v>
      </c>
      <c r="I191">
        <v>190</v>
      </c>
      <c r="J191">
        <v>-23.1</v>
      </c>
      <c r="K191">
        <v>2017</v>
      </c>
      <c r="L191">
        <v>3</v>
      </c>
      <c r="M191">
        <v>86</v>
      </c>
      <c r="N191" t="s">
        <v>30</v>
      </c>
    </row>
    <row r="192" spans="1:14" x14ac:dyDescent="0.25">
      <c r="A192" t="s">
        <v>229</v>
      </c>
      <c r="B192">
        <v>1901</v>
      </c>
      <c r="C192">
        <v>641</v>
      </c>
      <c r="D192">
        <v>211</v>
      </c>
      <c r="E192" t="s">
        <v>20</v>
      </c>
      <c r="F192">
        <v>242</v>
      </c>
      <c r="G192">
        <v>1271</v>
      </c>
      <c r="H192">
        <v>1050.3900000000001</v>
      </c>
      <c r="I192">
        <v>191</v>
      </c>
      <c r="J192">
        <v>-13.2</v>
      </c>
      <c r="K192">
        <v>2018</v>
      </c>
      <c r="L192">
        <v>3</v>
      </c>
      <c r="M192">
        <v>81</v>
      </c>
      <c r="N192" t="s">
        <v>43</v>
      </c>
    </row>
    <row r="193" spans="1:14" x14ac:dyDescent="0.25">
      <c r="A193" t="s">
        <v>230</v>
      </c>
      <c r="B193">
        <v>1941</v>
      </c>
      <c r="C193">
        <v>607</v>
      </c>
      <c r="D193">
        <v>205</v>
      </c>
      <c r="E193" t="s">
        <v>63</v>
      </c>
      <c r="F193">
        <v>246</v>
      </c>
      <c r="G193">
        <v>1274</v>
      </c>
      <c r="H193">
        <v>1041.1500000000001</v>
      </c>
      <c r="I193">
        <v>192</v>
      </c>
      <c r="J193">
        <v>-9.24</v>
      </c>
      <c r="K193" t="s">
        <v>16</v>
      </c>
      <c r="L193" t="s">
        <v>16</v>
      </c>
      <c r="M193" t="s">
        <v>16</v>
      </c>
      <c r="N193" t="s">
        <v>16</v>
      </c>
    </row>
    <row r="194" spans="1:14" x14ac:dyDescent="0.25">
      <c r="A194" t="s">
        <v>231</v>
      </c>
      <c r="B194">
        <v>1660</v>
      </c>
      <c r="C194">
        <v>747</v>
      </c>
      <c r="D194">
        <v>230</v>
      </c>
      <c r="E194" t="s">
        <v>63</v>
      </c>
      <c r="F194">
        <v>231</v>
      </c>
      <c r="G194">
        <v>1203.5</v>
      </c>
      <c r="H194">
        <v>1040.82</v>
      </c>
      <c r="I194">
        <v>193</v>
      </c>
      <c r="J194">
        <v>-0.33</v>
      </c>
      <c r="K194">
        <v>2022</v>
      </c>
      <c r="L194">
        <v>3</v>
      </c>
      <c r="M194">
        <v>73</v>
      </c>
      <c r="N194" t="s">
        <v>55</v>
      </c>
    </row>
    <row r="195" spans="1:14" x14ac:dyDescent="0.25">
      <c r="A195" t="s">
        <v>232</v>
      </c>
      <c r="B195">
        <v>1956</v>
      </c>
      <c r="C195">
        <v>595</v>
      </c>
      <c r="D195">
        <v>204</v>
      </c>
      <c r="E195" t="s">
        <v>63</v>
      </c>
      <c r="F195">
        <v>250</v>
      </c>
      <c r="G195">
        <v>1275.5</v>
      </c>
      <c r="H195">
        <v>1038.18</v>
      </c>
      <c r="I195">
        <v>194</v>
      </c>
      <c r="J195">
        <v>-2.64</v>
      </c>
      <c r="K195">
        <v>2019</v>
      </c>
      <c r="L195">
        <v>1</v>
      </c>
      <c r="M195">
        <v>20</v>
      </c>
      <c r="N195" t="s">
        <v>37</v>
      </c>
    </row>
    <row r="196" spans="1:14" x14ac:dyDescent="0.25">
      <c r="A196" t="s">
        <v>233</v>
      </c>
      <c r="B196">
        <v>1964</v>
      </c>
      <c r="C196">
        <v>583</v>
      </c>
      <c r="D196">
        <v>202</v>
      </c>
      <c r="E196" t="s">
        <v>20</v>
      </c>
      <c r="F196">
        <v>253</v>
      </c>
      <c r="G196">
        <v>1273.5</v>
      </c>
      <c r="H196">
        <v>1032.9000000000001</v>
      </c>
      <c r="I196">
        <v>195</v>
      </c>
      <c r="J196">
        <v>-5.28</v>
      </c>
      <c r="K196" t="s">
        <v>16</v>
      </c>
      <c r="L196" t="s">
        <v>16</v>
      </c>
      <c r="M196" t="s">
        <v>16</v>
      </c>
      <c r="N196" t="s">
        <v>55</v>
      </c>
    </row>
    <row r="197" spans="1:14" x14ac:dyDescent="0.25">
      <c r="A197" t="s">
        <v>234</v>
      </c>
      <c r="B197">
        <v>1909</v>
      </c>
      <c r="C197">
        <v>597</v>
      </c>
      <c r="D197">
        <v>209</v>
      </c>
      <c r="E197" t="s">
        <v>20</v>
      </c>
      <c r="F197">
        <v>249</v>
      </c>
      <c r="G197">
        <v>1253</v>
      </c>
      <c r="H197">
        <v>1023.99</v>
      </c>
      <c r="I197">
        <v>196</v>
      </c>
      <c r="J197">
        <v>-8.91</v>
      </c>
      <c r="K197">
        <v>2019</v>
      </c>
      <c r="L197">
        <v>5</v>
      </c>
      <c r="M197">
        <v>149</v>
      </c>
      <c r="N197" t="s">
        <v>34</v>
      </c>
    </row>
    <row r="198" spans="1:14" x14ac:dyDescent="0.25">
      <c r="A198" t="s">
        <v>235</v>
      </c>
      <c r="B198">
        <v>1304</v>
      </c>
      <c r="C198">
        <v>889</v>
      </c>
      <c r="D198">
        <v>266</v>
      </c>
      <c r="E198" t="s">
        <v>63</v>
      </c>
      <c r="F198">
        <v>209</v>
      </c>
      <c r="G198">
        <v>1096.5</v>
      </c>
      <c r="H198">
        <v>1017.06</v>
      </c>
      <c r="I198">
        <v>197</v>
      </c>
      <c r="J198">
        <v>-6.93</v>
      </c>
      <c r="K198">
        <v>2016</v>
      </c>
      <c r="L198">
        <v>4</v>
      </c>
      <c r="M198">
        <v>110</v>
      </c>
      <c r="N198" t="s">
        <v>40</v>
      </c>
    </row>
    <row r="199" spans="1:14" x14ac:dyDescent="0.25">
      <c r="A199" t="s">
        <v>236</v>
      </c>
      <c r="B199">
        <v>1866</v>
      </c>
      <c r="C199">
        <v>607</v>
      </c>
      <c r="D199">
        <v>216</v>
      </c>
      <c r="E199" t="s">
        <v>33</v>
      </c>
      <c r="F199">
        <v>247</v>
      </c>
      <c r="G199">
        <v>1236.5</v>
      </c>
      <c r="H199">
        <v>1016.4</v>
      </c>
      <c r="I199">
        <v>198</v>
      </c>
      <c r="J199">
        <v>-0.66</v>
      </c>
      <c r="K199" t="s">
        <v>16</v>
      </c>
      <c r="L199" t="s">
        <v>16</v>
      </c>
      <c r="M199" t="s">
        <v>16</v>
      </c>
      <c r="N199" t="s">
        <v>21</v>
      </c>
    </row>
    <row r="200" spans="1:14" x14ac:dyDescent="0.25">
      <c r="A200" t="s">
        <v>237</v>
      </c>
      <c r="B200">
        <v>1889</v>
      </c>
      <c r="C200">
        <v>565</v>
      </c>
      <c r="D200">
        <v>213</v>
      </c>
      <c r="E200" t="s">
        <v>20</v>
      </c>
      <c r="F200">
        <v>257</v>
      </c>
      <c r="G200">
        <v>1227</v>
      </c>
      <c r="H200">
        <v>996.27</v>
      </c>
      <c r="I200">
        <v>199</v>
      </c>
      <c r="J200">
        <v>-20.13</v>
      </c>
      <c r="K200">
        <v>2022</v>
      </c>
      <c r="L200">
        <v>5</v>
      </c>
      <c r="M200">
        <v>148</v>
      </c>
      <c r="N200" t="s">
        <v>55</v>
      </c>
    </row>
    <row r="201" spans="1:14" x14ac:dyDescent="0.25">
      <c r="A201" t="s">
        <v>238</v>
      </c>
      <c r="B201">
        <v>1724</v>
      </c>
      <c r="C201">
        <v>631</v>
      </c>
      <c r="D201">
        <v>227</v>
      </c>
      <c r="E201" t="s">
        <v>63</v>
      </c>
      <c r="F201">
        <v>244</v>
      </c>
      <c r="G201">
        <v>1177.5</v>
      </c>
      <c r="H201">
        <v>985.38</v>
      </c>
      <c r="I201">
        <v>200</v>
      </c>
      <c r="J201">
        <v>-10.89</v>
      </c>
      <c r="K201">
        <v>2022</v>
      </c>
      <c r="L201">
        <v>4</v>
      </c>
      <c r="M201">
        <v>106</v>
      </c>
      <c r="N201" t="s">
        <v>55</v>
      </c>
    </row>
    <row r="202" spans="1:14" x14ac:dyDescent="0.25">
      <c r="A202" t="s">
        <v>239</v>
      </c>
      <c r="B202">
        <v>1905</v>
      </c>
      <c r="C202">
        <v>539</v>
      </c>
      <c r="D202">
        <v>210</v>
      </c>
      <c r="E202" t="s">
        <v>20</v>
      </c>
      <c r="F202">
        <v>265</v>
      </c>
      <c r="G202">
        <v>1222</v>
      </c>
      <c r="H202">
        <v>984.39</v>
      </c>
      <c r="I202">
        <v>201</v>
      </c>
      <c r="J202">
        <v>-0.99</v>
      </c>
      <c r="K202">
        <v>2017</v>
      </c>
      <c r="L202">
        <v>2</v>
      </c>
      <c r="M202">
        <v>40</v>
      </c>
      <c r="N202" t="s">
        <v>24</v>
      </c>
    </row>
    <row r="203" spans="1:14" x14ac:dyDescent="0.25">
      <c r="A203" t="s">
        <v>240</v>
      </c>
      <c r="B203">
        <v>1777</v>
      </c>
      <c r="C203">
        <v>600</v>
      </c>
      <c r="D203">
        <v>221</v>
      </c>
      <c r="E203" t="s">
        <v>20</v>
      </c>
      <c r="F203">
        <v>248</v>
      </c>
      <c r="G203">
        <v>1188.5</v>
      </c>
      <c r="H203">
        <v>982.41</v>
      </c>
      <c r="I203">
        <v>202</v>
      </c>
      <c r="J203">
        <v>-1.98</v>
      </c>
      <c r="K203">
        <v>2022</v>
      </c>
      <c r="L203">
        <v>2</v>
      </c>
      <c r="M203">
        <v>50</v>
      </c>
      <c r="N203" t="s">
        <v>21</v>
      </c>
    </row>
    <row r="204" spans="1:14" x14ac:dyDescent="0.25">
      <c r="A204" t="s">
        <v>241</v>
      </c>
      <c r="B204">
        <v>1761</v>
      </c>
      <c r="C204">
        <v>594</v>
      </c>
      <c r="D204">
        <v>222</v>
      </c>
      <c r="E204" t="s">
        <v>20</v>
      </c>
      <c r="F204">
        <v>252</v>
      </c>
      <c r="G204">
        <v>1177.5</v>
      </c>
      <c r="H204">
        <v>973.17</v>
      </c>
      <c r="I204">
        <v>203</v>
      </c>
      <c r="J204">
        <v>-9.24</v>
      </c>
      <c r="K204" t="s">
        <v>16</v>
      </c>
      <c r="L204" t="s">
        <v>16</v>
      </c>
      <c r="M204" t="s">
        <v>16</v>
      </c>
      <c r="N204" t="s">
        <v>40</v>
      </c>
    </row>
    <row r="205" spans="1:14" x14ac:dyDescent="0.25">
      <c r="A205" t="s">
        <v>242</v>
      </c>
      <c r="B205">
        <v>1598</v>
      </c>
      <c r="C205">
        <v>640</v>
      </c>
      <c r="D205">
        <v>238</v>
      </c>
      <c r="E205" t="s">
        <v>33</v>
      </c>
      <c r="F205">
        <v>243</v>
      </c>
      <c r="G205">
        <v>1119</v>
      </c>
      <c r="H205">
        <v>949.74</v>
      </c>
      <c r="I205">
        <v>204</v>
      </c>
      <c r="J205">
        <v>-23.43</v>
      </c>
      <c r="K205">
        <v>2021</v>
      </c>
      <c r="L205">
        <v>4</v>
      </c>
      <c r="M205">
        <v>126</v>
      </c>
      <c r="N205" t="s">
        <v>30</v>
      </c>
    </row>
    <row r="206" spans="1:14" x14ac:dyDescent="0.25">
      <c r="A206" t="s">
        <v>243</v>
      </c>
      <c r="B206">
        <v>1495</v>
      </c>
      <c r="C206">
        <v>687</v>
      </c>
      <c r="D206">
        <v>247</v>
      </c>
      <c r="E206" t="s">
        <v>63</v>
      </c>
      <c r="F206">
        <v>238</v>
      </c>
      <c r="G206">
        <v>1091</v>
      </c>
      <c r="H206">
        <v>946.77</v>
      </c>
      <c r="I206">
        <v>205</v>
      </c>
      <c r="J206">
        <v>-2.97</v>
      </c>
      <c r="K206">
        <v>2017</v>
      </c>
      <c r="L206">
        <v>2</v>
      </c>
      <c r="M206">
        <v>44</v>
      </c>
      <c r="N206" t="s">
        <v>27</v>
      </c>
    </row>
    <row r="207" spans="1:14" x14ac:dyDescent="0.25">
      <c r="A207" t="s">
        <v>244</v>
      </c>
      <c r="B207">
        <v>1405</v>
      </c>
      <c r="C207">
        <v>726</v>
      </c>
      <c r="D207">
        <v>256</v>
      </c>
      <c r="E207" t="s">
        <v>33</v>
      </c>
      <c r="F207">
        <v>234</v>
      </c>
      <c r="G207">
        <v>1065.5</v>
      </c>
      <c r="H207">
        <v>942.81</v>
      </c>
      <c r="I207">
        <v>206</v>
      </c>
      <c r="J207">
        <v>-3.96</v>
      </c>
      <c r="K207" t="s">
        <v>16</v>
      </c>
      <c r="L207" t="s">
        <v>16</v>
      </c>
      <c r="M207" t="s">
        <v>16</v>
      </c>
      <c r="N207" t="s">
        <v>17</v>
      </c>
    </row>
    <row r="208" spans="1:14" x14ac:dyDescent="0.25">
      <c r="A208" t="s">
        <v>245</v>
      </c>
      <c r="B208">
        <v>1790</v>
      </c>
      <c r="C208">
        <v>523</v>
      </c>
      <c r="D208">
        <v>220</v>
      </c>
      <c r="E208" t="s">
        <v>20</v>
      </c>
      <c r="F208">
        <v>269</v>
      </c>
      <c r="G208">
        <v>1156.5</v>
      </c>
      <c r="H208">
        <v>935.88</v>
      </c>
      <c r="I208">
        <v>207</v>
      </c>
      <c r="J208">
        <v>-6.93</v>
      </c>
      <c r="K208">
        <v>2020</v>
      </c>
      <c r="L208">
        <v>5</v>
      </c>
      <c r="M208">
        <v>176</v>
      </c>
      <c r="N208" t="s">
        <v>24</v>
      </c>
    </row>
    <row r="209" spans="1:14" x14ac:dyDescent="0.25">
      <c r="A209" t="s">
        <v>246</v>
      </c>
      <c r="B209">
        <v>1511</v>
      </c>
      <c r="C209">
        <v>658</v>
      </c>
      <c r="D209">
        <v>244</v>
      </c>
      <c r="E209" t="s">
        <v>33</v>
      </c>
      <c r="F209">
        <v>239</v>
      </c>
      <c r="G209">
        <v>1084.5</v>
      </c>
      <c r="H209">
        <v>932.91</v>
      </c>
      <c r="I209">
        <v>208</v>
      </c>
      <c r="J209">
        <v>-2.97</v>
      </c>
      <c r="K209">
        <v>2014</v>
      </c>
      <c r="L209">
        <v>3</v>
      </c>
      <c r="M209">
        <v>96</v>
      </c>
      <c r="N209" t="s">
        <v>24</v>
      </c>
    </row>
    <row r="210" spans="1:14" x14ac:dyDescent="0.25">
      <c r="A210" t="s">
        <v>247</v>
      </c>
      <c r="B210">
        <v>1638</v>
      </c>
      <c r="C210">
        <v>569</v>
      </c>
      <c r="D210">
        <v>235</v>
      </c>
      <c r="E210" t="s">
        <v>33</v>
      </c>
      <c r="F210">
        <v>256</v>
      </c>
      <c r="G210">
        <v>1103.5</v>
      </c>
      <c r="H210">
        <v>916.08</v>
      </c>
      <c r="I210">
        <v>209</v>
      </c>
      <c r="J210">
        <v>-16.829999999999998</v>
      </c>
      <c r="K210">
        <v>2022</v>
      </c>
      <c r="L210">
        <v>5</v>
      </c>
      <c r="M210">
        <v>156</v>
      </c>
      <c r="N210" t="s">
        <v>24</v>
      </c>
    </row>
    <row r="211" spans="1:14" x14ac:dyDescent="0.25">
      <c r="A211" t="s">
        <v>248</v>
      </c>
      <c r="B211">
        <v>1748</v>
      </c>
      <c r="C211">
        <v>514</v>
      </c>
      <c r="D211">
        <v>223</v>
      </c>
      <c r="E211" t="s">
        <v>63</v>
      </c>
      <c r="F211">
        <v>271</v>
      </c>
      <c r="G211">
        <v>1131</v>
      </c>
      <c r="H211">
        <v>916.08</v>
      </c>
      <c r="I211">
        <v>210</v>
      </c>
      <c r="J211" s="1">
        <v>-1.1399999999999999E-13</v>
      </c>
      <c r="K211">
        <v>2022</v>
      </c>
      <c r="L211">
        <v>4</v>
      </c>
      <c r="M211">
        <v>112</v>
      </c>
      <c r="N211" t="s">
        <v>16</v>
      </c>
    </row>
    <row r="212" spans="1:14" x14ac:dyDescent="0.25">
      <c r="A212" t="s">
        <v>249</v>
      </c>
      <c r="B212">
        <v>1891</v>
      </c>
      <c r="C212">
        <v>425</v>
      </c>
      <c r="D212">
        <v>212</v>
      </c>
      <c r="E212" t="s">
        <v>20</v>
      </c>
      <c r="F212">
        <v>282</v>
      </c>
      <c r="G212">
        <v>1158</v>
      </c>
      <c r="H212">
        <v>904.53</v>
      </c>
      <c r="I212">
        <v>211</v>
      </c>
      <c r="J212">
        <v>-11.55</v>
      </c>
      <c r="K212">
        <v>2020</v>
      </c>
      <c r="L212">
        <v>6</v>
      </c>
      <c r="M212">
        <v>207</v>
      </c>
      <c r="N212" t="s">
        <v>24</v>
      </c>
    </row>
    <row r="213" spans="1:14" x14ac:dyDescent="0.25">
      <c r="A213" t="s">
        <v>250</v>
      </c>
      <c r="B213">
        <v>1671</v>
      </c>
      <c r="C213">
        <v>534</v>
      </c>
      <c r="D213">
        <v>229</v>
      </c>
      <c r="E213" t="s">
        <v>33</v>
      </c>
      <c r="F213">
        <v>267</v>
      </c>
      <c r="G213">
        <v>1102.5</v>
      </c>
      <c r="H213">
        <v>903.87</v>
      </c>
      <c r="I213">
        <v>212</v>
      </c>
      <c r="J213">
        <v>-0.66</v>
      </c>
      <c r="K213" t="s">
        <v>16</v>
      </c>
      <c r="L213" t="s">
        <v>16</v>
      </c>
      <c r="M213" t="s">
        <v>16</v>
      </c>
      <c r="N213" t="s">
        <v>17</v>
      </c>
    </row>
    <row r="214" spans="1:14" x14ac:dyDescent="0.25">
      <c r="A214" t="s">
        <v>251</v>
      </c>
      <c r="B214">
        <v>1648</v>
      </c>
      <c r="C214">
        <v>538</v>
      </c>
      <c r="D214">
        <v>232</v>
      </c>
      <c r="E214" t="s">
        <v>33</v>
      </c>
      <c r="F214">
        <v>266</v>
      </c>
      <c r="G214">
        <v>1093</v>
      </c>
      <c r="H214">
        <v>898.92</v>
      </c>
      <c r="I214">
        <v>213</v>
      </c>
      <c r="J214">
        <v>-4.95</v>
      </c>
      <c r="K214">
        <v>2022</v>
      </c>
      <c r="L214">
        <v>4</v>
      </c>
      <c r="M214">
        <v>122</v>
      </c>
      <c r="N214" t="s">
        <v>43</v>
      </c>
    </row>
    <row r="215" spans="1:14" x14ac:dyDescent="0.25">
      <c r="A215" t="s">
        <v>252</v>
      </c>
      <c r="B215">
        <v>1616</v>
      </c>
      <c r="C215">
        <v>553</v>
      </c>
      <c r="D215">
        <v>237</v>
      </c>
      <c r="E215" t="s">
        <v>33</v>
      </c>
      <c r="F215">
        <v>260</v>
      </c>
      <c r="G215">
        <v>1084.5</v>
      </c>
      <c r="H215">
        <v>898.26</v>
      </c>
      <c r="I215">
        <v>214</v>
      </c>
      <c r="J215">
        <v>-0.66</v>
      </c>
      <c r="K215">
        <v>2021</v>
      </c>
      <c r="L215">
        <v>4</v>
      </c>
      <c r="M215">
        <v>107</v>
      </c>
      <c r="N215" t="s">
        <v>40</v>
      </c>
    </row>
    <row r="216" spans="1:14" x14ac:dyDescent="0.25">
      <c r="A216" t="s">
        <v>253</v>
      </c>
      <c r="B216">
        <v>1740</v>
      </c>
      <c r="C216">
        <v>486</v>
      </c>
      <c r="D216">
        <v>224</v>
      </c>
      <c r="E216" t="s">
        <v>20</v>
      </c>
      <c r="F216">
        <v>276</v>
      </c>
      <c r="G216">
        <v>1113</v>
      </c>
      <c r="H216">
        <v>894.96</v>
      </c>
      <c r="I216">
        <v>215</v>
      </c>
      <c r="J216">
        <v>-3.3</v>
      </c>
      <c r="K216">
        <v>2017</v>
      </c>
      <c r="L216">
        <v>2</v>
      </c>
      <c r="M216">
        <v>37</v>
      </c>
      <c r="N216" t="s">
        <v>37</v>
      </c>
    </row>
    <row r="217" spans="1:14" x14ac:dyDescent="0.25">
      <c r="A217" t="s">
        <v>254</v>
      </c>
      <c r="B217">
        <v>1387</v>
      </c>
      <c r="C217">
        <v>648</v>
      </c>
      <c r="D217">
        <v>257</v>
      </c>
      <c r="E217" t="s">
        <v>63</v>
      </c>
      <c r="F217">
        <v>240</v>
      </c>
      <c r="G217">
        <v>1017.5</v>
      </c>
      <c r="H217">
        <v>885.39</v>
      </c>
      <c r="I217">
        <v>216</v>
      </c>
      <c r="J217">
        <v>-9.57</v>
      </c>
      <c r="K217">
        <v>2018</v>
      </c>
      <c r="L217">
        <v>1</v>
      </c>
      <c r="M217">
        <v>25</v>
      </c>
      <c r="N217" t="s">
        <v>37</v>
      </c>
    </row>
    <row r="218" spans="1:14" x14ac:dyDescent="0.25">
      <c r="A218" t="s">
        <v>255</v>
      </c>
      <c r="B218">
        <v>1504</v>
      </c>
      <c r="C218">
        <v>573</v>
      </c>
      <c r="D218">
        <v>246</v>
      </c>
      <c r="E218" t="s">
        <v>15</v>
      </c>
      <c r="F218">
        <v>255</v>
      </c>
      <c r="G218">
        <v>1038.5</v>
      </c>
      <c r="H218">
        <v>874.5</v>
      </c>
      <c r="I218">
        <v>217</v>
      </c>
      <c r="J218">
        <v>-10.89</v>
      </c>
      <c r="K218">
        <v>2018</v>
      </c>
      <c r="L218">
        <v>1</v>
      </c>
      <c r="M218">
        <v>3</v>
      </c>
      <c r="N218" t="s">
        <v>21</v>
      </c>
    </row>
    <row r="219" spans="1:14" x14ac:dyDescent="0.25">
      <c r="A219" t="s">
        <v>256</v>
      </c>
      <c r="B219">
        <v>1833</v>
      </c>
      <c r="C219">
        <v>406</v>
      </c>
      <c r="D219">
        <v>218</v>
      </c>
      <c r="E219" t="s">
        <v>20</v>
      </c>
      <c r="F219">
        <v>283</v>
      </c>
      <c r="G219">
        <v>1119.5</v>
      </c>
      <c r="H219">
        <v>872.85</v>
      </c>
      <c r="I219">
        <v>218</v>
      </c>
      <c r="J219">
        <v>-1.65</v>
      </c>
      <c r="K219">
        <v>2021</v>
      </c>
      <c r="L219">
        <v>3</v>
      </c>
      <c r="M219">
        <v>77</v>
      </c>
      <c r="N219" t="s">
        <v>55</v>
      </c>
    </row>
    <row r="220" spans="1:14" x14ac:dyDescent="0.25">
      <c r="A220" t="s">
        <v>257</v>
      </c>
      <c r="B220">
        <v>1587</v>
      </c>
      <c r="C220">
        <v>509</v>
      </c>
      <c r="D220">
        <v>240</v>
      </c>
      <c r="E220" t="s">
        <v>20</v>
      </c>
      <c r="F220">
        <v>273</v>
      </c>
      <c r="G220">
        <v>1048</v>
      </c>
      <c r="H220">
        <v>859.65</v>
      </c>
      <c r="I220">
        <v>219</v>
      </c>
      <c r="J220">
        <v>-13.2</v>
      </c>
      <c r="K220" t="s">
        <v>16</v>
      </c>
      <c r="L220" t="s">
        <v>16</v>
      </c>
      <c r="M220" t="s">
        <v>16</v>
      </c>
      <c r="N220" t="s">
        <v>16</v>
      </c>
    </row>
    <row r="221" spans="1:14" x14ac:dyDescent="0.25">
      <c r="A221" t="s">
        <v>258</v>
      </c>
      <c r="B221">
        <v>1558</v>
      </c>
      <c r="C221">
        <v>513</v>
      </c>
      <c r="D221">
        <v>242</v>
      </c>
      <c r="E221" t="s">
        <v>63</v>
      </c>
      <c r="F221">
        <v>272</v>
      </c>
      <c r="G221">
        <v>1035.5</v>
      </c>
      <c r="H221">
        <v>852.72</v>
      </c>
      <c r="I221">
        <v>220</v>
      </c>
      <c r="J221">
        <v>-6.93</v>
      </c>
      <c r="K221">
        <v>2022</v>
      </c>
      <c r="L221">
        <v>4</v>
      </c>
      <c r="M221">
        <v>129</v>
      </c>
      <c r="N221" t="s">
        <v>30</v>
      </c>
    </row>
    <row r="222" spans="1:14" x14ac:dyDescent="0.25">
      <c r="A222" t="s">
        <v>259</v>
      </c>
      <c r="B222">
        <v>1567</v>
      </c>
      <c r="C222">
        <v>503</v>
      </c>
      <c r="D222">
        <v>241</v>
      </c>
      <c r="E222" t="s">
        <v>63</v>
      </c>
      <c r="F222">
        <v>275</v>
      </c>
      <c r="G222">
        <v>1035</v>
      </c>
      <c r="H222">
        <v>849.09</v>
      </c>
      <c r="I222">
        <v>221</v>
      </c>
      <c r="J222">
        <v>-3.63</v>
      </c>
      <c r="K222" t="s">
        <v>16</v>
      </c>
      <c r="L222" t="s">
        <v>16</v>
      </c>
      <c r="M222" t="s">
        <v>16</v>
      </c>
      <c r="N222" t="s">
        <v>21</v>
      </c>
    </row>
    <row r="223" spans="1:14" x14ac:dyDescent="0.25">
      <c r="A223" t="s">
        <v>260</v>
      </c>
      <c r="B223">
        <v>1442</v>
      </c>
      <c r="C223">
        <v>563</v>
      </c>
      <c r="D223">
        <v>251</v>
      </c>
      <c r="E223" t="s">
        <v>20</v>
      </c>
      <c r="F223">
        <v>258</v>
      </c>
      <c r="G223">
        <v>1002.5</v>
      </c>
      <c r="H223">
        <v>847.44</v>
      </c>
      <c r="I223">
        <v>222</v>
      </c>
      <c r="J223">
        <v>-1.65</v>
      </c>
      <c r="K223" t="s">
        <v>16</v>
      </c>
      <c r="L223" t="s">
        <v>16</v>
      </c>
      <c r="M223" t="s">
        <v>16</v>
      </c>
      <c r="N223" t="s">
        <v>40</v>
      </c>
    </row>
    <row r="224" spans="1:14" x14ac:dyDescent="0.25">
      <c r="A224" t="s">
        <v>261</v>
      </c>
      <c r="B224">
        <v>1620</v>
      </c>
      <c r="C224">
        <v>465</v>
      </c>
      <c r="D224">
        <v>236</v>
      </c>
      <c r="E224" t="s">
        <v>33</v>
      </c>
      <c r="F224">
        <v>279</v>
      </c>
      <c r="G224">
        <v>1042.5</v>
      </c>
      <c r="H224">
        <v>841.5</v>
      </c>
      <c r="I224">
        <v>223</v>
      </c>
      <c r="J224">
        <v>-5.94</v>
      </c>
      <c r="K224">
        <v>2022</v>
      </c>
      <c r="L224">
        <v>4</v>
      </c>
      <c r="M224">
        <v>123</v>
      </c>
      <c r="N224" t="s">
        <v>40</v>
      </c>
    </row>
    <row r="225" spans="1:14" x14ac:dyDescent="0.25">
      <c r="A225" t="s">
        <v>262</v>
      </c>
      <c r="B225">
        <v>1444</v>
      </c>
      <c r="C225">
        <v>548</v>
      </c>
      <c r="D225">
        <v>250</v>
      </c>
      <c r="E225" t="s">
        <v>33</v>
      </c>
      <c r="F225">
        <v>262</v>
      </c>
      <c r="G225">
        <v>996</v>
      </c>
      <c r="H225">
        <v>838.2</v>
      </c>
      <c r="I225">
        <v>224</v>
      </c>
      <c r="J225">
        <v>-3.3</v>
      </c>
      <c r="K225" t="s">
        <v>16</v>
      </c>
      <c r="L225" t="s">
        <v>16</v>
      </c>
      <c r="M225" t="s">
        <v>16</v>
      </c>
      <c r="N225" t="s">
        <v>43</v>
      </c>
    </row>
    <row r="226" spans="1:14" x14ac:dyDescent="0.25">
      <c r="A226" t="s">
        <v>263</v>
      </c>
      <c r="B226">
        <v>1299</v>
      </c>
      <c r="C226">
        <v>619</v>
      </c>
      <c r="D226">
        <v>269</v>
      </c>
      <c r="E226" t="s">
        <v>15</v>
      </c>
      <c r="F226">
        <v>245</v>
      </c>
      <c r="G226">
        <v>959</v>
      </c>
      <c r="H226">
        <v>837.21</v>
      </c>
      <c r="I226">
        <v>225</v>
      </c>
      <c r="J226">
        <v>-0.99</v>
      </c>
      <c r="K226" t="s">
        <v>16</v>
      </c>
      <c r="L226" t="s">
        <v>16</v>
      </c>
      <c r="M226" t="s">
        <v>16</v>
      </c>
      <c r="N226" t="s">
        <v>30</v>
      </c>
    </row>
    <row r="227" spans="1:14" x14ac:dyDescent="0.25">
      <c r="A227" t="s">
        <v>264</v>
      </c>
      <c r="B227">
        <v>1302</v>
      </c>
      <c r="C227">
        <v>595</v>
      </c>
      <c r="D227">
        <v>267</v>
      </c>
      <c r="E227" t="s">
        <v>63</v>
      </c>
      <c r="F227">
        <v>251</v>
      </c>
      <c r="G227">
        <v>948.5</v>
      </c>
      <c r="H227">
        <v>822.36</v>
      </c>
      <c r="I227">
        <v>226</v>
      </c>
      <c r="J227">
        <v>-14.85</v>
      </c>
      <c r="K227">
        <v>2013</v>
      </c>
      <c r="L227">
        <v>2</v>
      </c>
      <c r="M227">
        <v>35</v>
      </c>
      <c r="N227" t="s">
        <v>40</v>
      </c>
    </row>
    <row r="228" spans="1:14" x14ac:dyDescent="0.25">
      <c r="A228" t="s">
        <v>265</v>
      </c>
      <c r="B228">
        <v>1336</v>
      </c>
      <c r="C228">
        <v>552</v>
      </c>
      <c r="D228">
        <v>261</v>
      </c>
      <c r="E228" t="s">
        <v>33</v>
      </c>
      <c r="F228">
        <v>261</v>
      </c>
      <c r="G228">
        <v>944</v>
      </c>
      <c r="H228">
        <v>805.2</v>
      </c>
      <c r="I228">
        <v>227</v>
      </c>
      <c r="J228">
        <v>-17.16</v>
      </c>
      <c r="K228" t="s">
        <v>16</v>
      </c>
      <c r="L228" t="s">
        <v>16</v>
      </c>
      <c r="M228" t="s">
        <v>16</v>
      </c>
      <c r="N228" t="s">
        <v>37</v>
      </c>
    </row>
    <row r="229" spans="1:14" x14ac:dyDescent="0.25">
      <c r="A229" t="s">
        <v>266</v>
      </c>
      <c r="B229">
        <v>1639</v>
      </c>
      <c r="C229">
        <v>395</v>
      </c>
      <c r="D229">
        <v>234</v>
      </c>
      <c r="E229" t="s">
        <v>20</v>
      </c>
      <c r="F229">
        <v>284</v>
      </c>
      <c r="G229">
        <v>1017</v>
      </c>
      <c r="H229">
        <v>801.57</v>
      </c>
      <c r="I229">
        <v>228</v>
      </c>
      <c r="J229">
        <v>-3.63</v>
      </c>
      <c r="K229">
        <v>2019</v>
      </c>
      <c r="L229">
        <v>2</v>
      </c>
      <c r="M229">
        <v>59</v>
      </c>
      <c r="N229" t="s">
        <v>21</v>
      </c>
    </row>
    <row r="230" spans="1:14" x14ac:dyDescent="0.25">
      <c r="A230" t="s">
        <v>267</v>
      </c>
      <c r="B230">
        <v>1309</v>
      </c>
      <c r="C230">
        <v>548</v>
      </c>
      <c r="D230">
        <v>265</v>
      </c>
      <c r="E230" t="s">
        <v>20</v>
      </c>
      <c r="F230">
        <v>263</v>
      </c>
      <c r="G230">
        <v>928.5</v>
      </c>
      <c r="H230">
        <v>793.65</v>
      </c>
      <c r="I230">
        <v>229</v>
      </c>
      <c r="J230">
        <v>-7.92</v>
      </c>
      <c r="K230">
        <v>2020</v>
      </c>
      <c r="L230">
        <v>2</v>
      </c>
      <c r="M230">
        <v>57</v>
      </c>
      <c r="N230" t="s">
        <v>24</v>
      </c>
    </row>
    <row r="231" spans="1:14" x14ac:dyDescent="0.25">
      <c r="A231" t="s">
        <v>268</v>
      </c>
      <c r="B231">
        <v>1279</v>
      </c>
      <c r="C231">
        <v>548</v>
      </c>
      <c r="D231">
        <v>270</v>
      </c>
      <c r="E231" t="s">
        <v>33</v>
      </c>
      <c r="F231">
        <v>264</v>
      </c>
      <c r="G231">
        <v>913.5</v>
      </c>
      <c r="H231">
        <v>783.75</v>
      </c>
      <c r="I231">
        <v>230</v>
      </c>
      <c r="J231">
        <v>-9.9</v>
      </c>
      <c r="K231" t="s">
        <v>16</v>
      </c>
      <c r="L231" t="s">
        <v>16</v>
      </c>
      <c r="M231" t="s">
        <v>16</v>
      </c>
      <c r="N231" t="s">
        <v>37</v>
      </c>
    </row>
    <row r="232" spans="1:14" x14ac:dyDescent="0.25">
      <c r="A232" t="s">
        <v>269</v>
      </c>
      <c r="B232">
        <v>1202</v>
      </c>
      <c r="C232">
        <v>576</v>
      </c>
      <c r="D232">
        <v>280</v>
      </c>
      <c r="E232" t="s">
        <v>33</v>
      </c>
      <c r="F232">
        <v>254</v>
      </c>
      <c r="G232">
        <v>889</v>
      </c>
      <c r="H232">
        <v>776.82</v>
      </c>
      <c r="I232">
        <v>231</v>
      </c>
      <c r="J232">
        <v>-6.93</v>
      </c>
      <c r="K232">
        <v>2017</v>
      </c>
      <c r="L232">
        <v>1</v>
      </c>
      <c r="M232">
        <v>4</v>
      </c>
      <c r="N232" t="s">
        <v>34</v>
      </c>
    </row>
    <row r="233" spans="1:14" x14ac:dyDescent="0.25">
      <c r="A233" t="s">
        <v>270</v>
      </c>
      <c r="B233">
        <v>1359</v>
      </c>
      <c r="C233">
        <v>475</v>
      </c>
      <c r="D233">
        <v>259</v>
      </c>
      <c r="E233" t="s">
        <v>15</v>
      </c>
      <c r="F233">
        <v>277</v>
      </c>
      <c r="G233">
        <v>917</v>
      </c>
      <c r="H233">
        <v>761.97</v>
      </c>
      <c r="I233">
        <v>232</v>
      </c>
      <c r="J233">
        <v>-14.85</v>
      </c>
      <c r="K233">
        <v>2021</v>
      </c>
      <c r="L233">
        <v>2</v>
      </c>
      <c r="M233">
        <v>64</v>
      </c>
      <c r="N233" t="s">
        <v>43</v>
      </c>
    </row>
    <row r="234" spans="1:14" x14ac:dyDescent="0.25">
      <c r="A234" t="s">
        <v>271</v>
      </c>
      <c r="B234">
        <v>1639</v>
      </c>
      <c r="C234">
        <v>323</v>
      </c>
      <c r="D234">
        <v>233</v>
      </c>
      <c r="E234" t="s">
        <v>20</v>
      </c>
      <c r="F234">
        <v>290</v>
      </c>
      <c r="G234">
        <v>981</v>
      </c>
      <c r="H234">
        <v>754.05</v>
      </c>
      <c r="I234">
        <v>233</v>
      </c>
      <c r="J234">
        <v>-7.92</v>
      </c>
      <c r="K234">
        <v>2019</v>
      </c>
      <c r="L234">
        <v>2</v>
      </c>
      <c r="M234">
        <v>56</v>
      </c>
      <c r="N234" t="s">
        <v>40</v>
      </c>
    </row>
    <row r="235" spans="1:14" x14ac:dyDescent="0.25">
      <c r="A235" t="s">
        <v>272</v>
      </c>
      <c r="B235">
        <v>1218</v>
      </c>
      <c r="C235">
        <v>506</v>
      </c>
      <c r="D235">
        <v>277</v>
      </c>
      <c r="E235" t="s">
        <v>33</v>
      </c>
      <c r="F235">
        <v>274</v>
      </c>
      <c r="G235">
        <v>862</v>
      </c>
      <c r="H235">
        <v>735.9</v>
      </c>
      <c r="I235">
        <v>234</v>
      </c>
      <c r="J235">
        <v>-18.149999999999999</v>
      </c>
      <c r="K235" t="s">
        <v>16</v>
      </c>
      <c r="L235" t="s">
        <v>16</v>
      </c>
      <c r="M235" t="s">
        <v>16</v>
      </c>
      <c r="N235" t="s">
        <v>27</v>
      </c>
    </row>
    <row r="236" spans="1:14" x14ac:dyDescent="0.25">
      <c r="A236" t="s">
        <v>273</v>
      </c>
      <c r="B236">
        <v>1315</v>
      </c>
      <c r="C236">
        <v>442</v>
      </c>
      <c r="D236">
        <v>264</v>
      </c>
      <c r="E236" t="s">
        <v>15</v>
      </c>
      <c r="F236">
        <v>281</v>
      </c>
      <c r="G236">
        <v>878.5</v>
      </c>
      <c r="H236">
        <v>725.67</v>
      </c>
      <c r="I236">
        <v>235</v>
      </c>
      <c r="J236">
        <v>-10.23</v>
      </c>
      <c r="K236">
        <v>2021</v>
      </c>
      <c r="L236">
        <v>1</v>
      </c>
      <c r="M236">
        <v>2</v>
      </c>
      <c r="N236" t="s">
        <v>30</v>
      </c>
    </row>
    <row r="237" spans="1:14" x14ac:dyDescent="0.25">
      <c r="A237" t="s">
        <v>274</v>
      </c>
      <c r="B237">
        <v>1959</v>
      </c>
      <c r="C237">
        <v>93</v>
      </c>
      <c r="D237">
        <v>203</v>
      </c>
      <c r="E237" t="s">
        <v>63</v>
      </c>
      <c r="F237">
        <v>327</v>
      </c>
      <c r="G237">
        <v>1026</v>
      </c>
      <c r="H237">
        <v>707.85</v>
      </c>
      <c r="I237">
        <v>236</v>
      </c>
      <c r="J237">
        <v>-17.82</v>
      </c>
      <c r="K237" t="s">
        <v>16</v>
      </c>
      <c r="L237" t="s">
        <v>16</v>
      </c>
      <c r="M237" t="s">
        <v>16</v>
      </c>
      <c r="N237" t="s">
        <v>17</v>
      </c>
    </row>
    <row r="238" spans="1:14" x14ac:dyDescent="0.25">
      <c r="A238" t="s">
        <v>275</v>
      </c>
      <c r="B238">
        <v>1056</v>
      </c>
      <c r="C238">
        <v>523</v>
      </c>
      <c r="D238">
        <v>299</v>
      </c>
      <c r="E238" t="s">
        <v>20</v>
      </c>
      <c r="F238">
        <v>270</v>
      </c>
      <c r="G238">
        <v>789.5</v>
      </c>
      <c r="H238">
        <v>693.66</v>
      </c>
      <c r="I238">
        <v>237</v>
      </c>
      <c r="J238">
        <v>-14.19</v>
      </c>
      <c r="K238">
        <v>2014</v>
      </c>
      <c r="L238">
        <v>2</v>
      </c>
      <c r="M238">
        <v>61</v>
      </c>
      <c r="N238" t="s">
        <v>43</v>
      </c>
    </row>
    <row r="239" spans="1:14" x14ac:dyDescent="0.25">
      <c r="A239" t="s">
        <v>276</v>
      </c>
      <c r="B239">
        <v>1209</v>
      </c>
      <c r="C239">
        <v>444</v>
      </c>
      <c r="D239">
        <v>278</v>
      </c>
      <c r="E239" t="s">
        <v>15</v>
      </c>
      <c r="F239">
        <v>280</v>
      </c>
      <c r="G239">
        <v>826.5</v>
      </c>
      <c r="H239">
        <v>692.01</v>
      </c>
      <c r="I239">
        <v>238</v>
      </c>
      <c r="J239">
        <v>-1.65</v>
      </c>
      <c r="K239">
        <v>2016</v>
      </c>
      <c r="L239">
        <v>3</v>
      </c>
      <c r="M239">
        <v>91</v>
      </c>
      <c r="N239" t="s">
        <v>17</v>
      </c>
    </row>
    <row r="240" spans="1:14" x14ac:dyDescent="0.25">
      <c r="A240" t="s">
        <v>277</v>
      </c>
      <c r="B240">
        <v>1480</v>
      </c>
      <c r="C240">
        <v>305</v>
      </c>
      <c r="D240">
        <v>249</v>
      </c>
      <c r="E240" t="s">
        <v>15</v>
      </c>
      <c r="F240">
        <v>291</v>
      </c>
      <c r="G240">
        <v>892.5</v>
      </c>
      <c r="H240">
        <v>689.7</v>
      </c>
      <c r="I240">
        <v>239</v>
      </c>
      <c r="J240">
        <v>-2.31</v>
      </c>
      <c r="K240">
        <v>2022</v>
      </c>
      <c r="L240">
        <v>4</v>
      </c>
      <c r="M240">
        <v>137</v>
      </c>
      <c r="N240" t="s">
        <v>27</v>
      </c>
    </row>
    <row r="241" spans="1:14" x14ac:dyDescent="0.25">
      <c r="A241" t="s">
        <v>278</v>
      </c>
      <c r="B241">
        <v>1338</v>
      </c>
      <c r="C241">
        <v>366</v>
      </c>
      <c r="D241">
        <v>260</v>
      </c>
      <c r="E241" t="s">
        <v>33</v>
      </c>
      <c r="F241">
        <v>286</v>
      </c>
      <c r="G241">
        <v>852</v>
      </c>
      <c r="H241">
        <v>683.1</v>
      </c>
      <c r="I241">
        <v>240</v>
      </c>
      <c r="J241">
        <v>-6.6</v>
      </c>
      <c r="K241" t="s">
        <v>16</v>
      </c>
      <c r="L241" t="s">
        <v>16</v>
      </c>
      <c r="M241" t="s">
        <v>16</v>
      </c>
      <c r="N241" t="s">
        <v>55</v>
      </c>
    </row>
    <row r="242" spans="1:14" x14ac:dyDescent="0.25">
      <c r="A242" t="s">
        <v>279</v>
      </c>
      <c r="B242">
        <v>1494</v>
      </c>
      <c r="C242">
        <v>266</v>
      </c>
      <c r="D242">
        <v>248</v>
      </c>
      <c r="E242" t="s">
        <v>20</v>
      </c>
      <c r="F242">
        <v>299</v>
      </c>
      <c r="G242">
        <v>880</v>
      </c>
      <c r="H242">
        <v>668.58</v>
      </c>
      <c r="I242">
        <v>241</v>
      </c>
      <c r="J242">
        <v>-14.52</v>
      </c>
      <c r="K242">
        <v>2019</v>
      </c>
      <c r="L242">
        <v>5</v>
      </c>
      <c r="M242">
        <v>171</v>
      </c>
      <c r="N242" t="s">
        <v>16</v>
      </c>
    </row>
    <row r="243" spans="1:14" x14ac:dyDescent="0.25">
      <c r="A243" t="s">
        <v>280</v>
      </c>
      <c r="B243">
        <v>1254</v>
      </c>
      <c r="C243">
        <v>379</v>
      </c>
      <c r="D243">
        <v>274</v>
      </c>
      <c r="E243" t="s">
        <v>33</v>
      </c>
      <c r="F243">
        <v>285</v>
      </c>
      <c r="G243">
        <v>816.5</v>
      </c>
      <c r="H243">
        <v>663.96</v>
      </c>
      <c r="I243">
        <v>242</v>
      </c>
      <c r="J243">
        <v>-4.62</v>
      </c>
      <c r="K243" t="s">
        <v>16</v>
      </c>
      <c r="L243" t="s">
        <v>16</v>
      </c>
      <c r="M243" t="s">
        <v>16</v>
      </c>
      <c r="N243" t="s">
        <v>27</v>
      </c>
    </row>
    <row r="244" spans="1:14" x14ac:dyDescent="0.25">
      <c r="A244" t="s">
        <v>281</v>
      </c>
      <c r="B244">
        <v>1236</v>
      </c>
      <c r="C244">
        <v>365</v>
      </c>
      <c r="D244">
        <v>276</v>
      </c>
      <c r="E244" t="s">
        <v>33</v>
      </c>
      <c r="F244">
        <v>287</v>
      </c>
      <c r="G244">
        <v>800.5</v>
      </c>
      <c r="H244">
        <v>648.78</v>
      </c>
      <c r="I244">
        <v>243</v>
      </c>
      <c r="J244">
        <v>-15.18</v>
      </c>
      <c r="K244">
        <v>2022</v>
      </c>
      <c r="L244">
        <v>6</v>
      </c>
      <c r="M244">
        <v>201</v>
      </c>
      <c r="N244" t="s">
        <v>30</v>
      </c>
    </row>
    <row r="245" spans="1:14" x14ac:dyDescent="0.25">
      <c r="A245" t="s">
        <v>282</v>
      </c>
      <c r="B245">
        <v>1268</v>
      </c>
      <c r="C245">
        <v>348</v>
      </c>
      <c r="D245">
        <v>272</v>
      </c>
      <c r="E245" t="s">
        <v>15</v>
      </c>
      <c r="F245">
        <v>289</v>
      </c>
      <c r="G245">
        <v>808</v>
      </c>
      <c r="H245">
        <v>648.12</v>
      </c>
      <c r="I245">
        <v>244</v>
      </c>
      <c r="J245">
        <v>-0.66</v>
      </c>
      <c r="K245" t="s">
        <v>16</v>
      </c>
      <c r="L245" t="s">
        <v>16</v>
      </c>
      <c r="M245" t="s">
        <v>16</v>
      </c>
      <c r="N245" t="s">
        <v>27</v>
      </c>
    </row>
    <row r="246" spans="1:14" x14ac:dyDescent="0.25">
      <c r="A246" t="s">
        <v>283</v>
      </c>
      <c r="B246">
        <v>972</v>
      </c>
      <c r="C246">
        <v>474</v>
      </c>
      <c r="D246">
        <v>307</v>
      </c>
      <c r="E246" t="s">
        <v>15</v>
      </c>
      <c r="F246">
        <v>278</v>
      </c>
      <c r="G246">
        <v>723</v>
      </c>
      <c r="H246">
        <v>633.6</v>
      </c>
      <c r="I246">
        <v>245</v>
      </c>
      <c r="J246">
        <v>-14.52</v>
      </c>
      <c r="K246">
        <v>2018</v>
      </c>
      <c r="L246">
        <v>5</v>
      </c>
      <c r="M246">
        <v>171</v>
      </c>
      <c r="N246" t="s">
        <v>27</v>
      </c>
    </row>
    <row r="247" spans="1:14" x14ac:dyDescent="0.25">
      <c r="A247" t="s">
        <v>284</v>
      </c>
      <c r="B247">
        <v>1425</v>
      </c>
      <c r="C247">
        <v>242</v>
      </c>
      <c r="D247">
        <v>252</v>
      </c>
      <c r="E247" t="s">
        <v>15</v>
      </c>
      <c r="F247">
        <v>303</v>
      </c>
      <c r="G247">
        <v>833.5</v>
      </c>
      <c r="H247">
        <v>629.97</v>
      </c>
      <c r="I247">
        <v>246</v>
      </c>
      <c r="J247">
        <v>-3.63</v>
      </c>
      <c r="K247" t="s">
        <v>16</v>
      </c>
      <c r="L247" t="s">
        <v>16</v>
      </c>
      <c r="M247" t="s">
        <v>16</v>
      </c>
      <c r="N247" t="s">
        <v>34</v>
      </c>
    </row>
    <row r="248" spans="1:14" x14ac:dyDescent="0.25">
      <c r="A248" t="s">
        <v>285</v>
      </c>
      <c r="B248">
        <v>1405</v>
      </c>
      <c r="C248">
        <v>247</v>
      </c>
      <c r="D248">
        <v>255</v>
      </c>
      <c r="E248" t="s">
        <v>20</v>
      </c>
      <c r="F248">
        <v>301</v>
      </c>
      <c r="G248">
        <v>826</v>
      </c>
      <c r="H248">
        <v>626.66999999999996</v>
      </c>
      <c r="I248">
        <v>247</v>
      </c>
      <c r="J248">
        <v>-3.3</v>
      </c>
      <c r="K248" t="s">
        <v>16</v>
      </c>
      <c r="L248" t="s">
        <v>16</v>
      </c>
      <c r="M248" t="s">
        <v>16</v>
      </c>
      <c r="N248" t="s">
        <v>55</v>
      </c>
    </row>
    <row r="249" spans="1:14" x14ac:dyDescent="0.25">
      <c r="A249" t="s">
        <v>286</v>
      </c>
      <c r="B249">
        <v>1360</v>
      </c>
      <c r="C249">
        <v>226</v>
      </c>
      <c r="D249">
        <v>258</v>
      </c>
      <c r="E249" t="s">
        <v>20</v>
      </c>
      <c r="F249">
        <v>304</v>
      </c>
      <c r="G249">
        <v>793</v>
      </c>
      <c r="H249">
        <v>597.96</v>
      </c>
      <c r="I249">
        <v>248</v>
      </c>
      <c r="J249">
        <v>-28.71</v>
      </c>
      <c r="K249">
        <v>2018</v>
      </c>
      <c r="L249">
        <v>5</v>
      </c>
      <c r="M249">
        <v>174</v>
      </c>
      <c r="N249" t="s">
        <v>40</v>
      </c>
    </row>
    <row r="250" spans="1:14" x14ac:dyDescent="0.25">
      <c r="A250" t="s">
        <v>287</v>
      </c>
      <c r="B250">
        <v>1191</v>
      </c>
      <c r="C250">
        <v>298</v>
      </c>
      <c r="D250">
        <v>281</v>
      </c>
      <c r="E250" t="s">
        <v>63</v>
      </c>
      <c r="F250">
        <v>293</v>
      </c>
      <c r="G250">
        <v>744.5</v>
      </c>
      <c r="H250">
        <v>589.71</v>
      </c>
      <c r="I250">
        <v>249</v>
      </c>
      <c r="J250">
        <v>-8.25</v>
      </c>
      <c r="K250">
        <v>2016</v>
      </c>
      <c r="L250">
        <v>2</v>
      </c>
      <c r="M250">
        <v>35</v>
      </c>
      <c r="N250" t="s">
        <v>37</v>
      </c>
    </row>
    <row r="251" spans="1:14" x14ac:dyDescent="0.25">
      <c r="A251" t="s">
        <v>288</v>
      </c>
      <c r="B251">
        <v>1255</v>
      </c>
      <c r="C251">
        <v>255</v>
      </c>
      <c r="D251">
        <v>273</v>
      </c>
      <c r="E251" t="s">
        <v>33</v>
      </c>
      <c r="F251">
        <v>300</v>
      </c>
      <c r="G251">
        <v>755</v>
      </c>
      <c r="H251">
        <v>582.45000000000005</v>
      </c>
      <c r="I251">
        <v>250</v>
      </c>
      <c r="J251">
        <v>-7.26</v>
      </c>
      <c r="K251" t="s">
        <v>16</v>
      </c>
      <c r="L251" t="s">
        <v>16</v>
      </c>
      <c r="M251" t="s">
        <v>16</v>
      </c>
      <c r="N251" t="s">
        <v>27</v>
      </c>
    </row>
    <row r="252" spans="1:14" x14ac:dyDescent="0.25">
      <c r="A252" t="s">
        <v>289</v>
      </c>
      <c r="B252">
        <v>1182</v>
      </c>
      <c r="C252">
        <v>272</v>
      </c>
      <c r="D252">
        <v>282</v>
      </c>
      <c r="E252" t="s">
        <v>33</v>
      </c>
      <c r="F252">
        <v>296</v>
      </c>
      <c r="G252">
        <v>727</v>
      </c>
      <c r="H252">
        <v>569.58000000000004</v>
      </c>
      <c r="I252">
        <v>251</v>
      </c>
      <c r="J252">
        <v>-12.87</v>
      </c>
      <c r="K252">
        <v>2022</v>
      </c>
      <c r="L252">
        <v>5</v>
      </c>
      <c r="M252">
        <v>164</v>
      </c>
      <c r="N252" t="s">
        <v>16</v>
      </c>
    </row>
    <row r="253" spans="1:14" x14ac:dyDescent="0.25">
      <c r="A253" t="s">
        <v>290</v>
      </c>
      <c r="B253">
        <v>1272</v>
      </c>
      <c r="C253">
        <v>208</v>
      </c>
      <c r="D253">
        <v>271</v>
      </c>
      <c r="E253" t="s">
        <v>20</v>
      </c>
      <c r="F253">
        <v>309</v>
      </c>
      <c r="G253">
        <v>740</v>
      </c>
      <c r="H253">
        <v>557.04</v>
      </c>
      <c r="I253">
        <v>252</v>
      </c>
      <c r="J253">
        <v>-12.54</v>
      </c>
      <c r="K253">
        <v>2022</v>
      </c>
      <c r="L253">
        <v>3</v>
      </c>
      <c r="M253">
        <v>99</v>
      </c>
      <c r="N253" t="s">
        <v>40</v>
      </c>
    </row>
    <row r="254" spans="1:14" x14ac:dyDescent="0.25">
      <c r="A254" t="s">
        <v>291</v>
      </c>
      <c r="B254">
        <v>948</v>
      </c>
      <c r="C254">
        <v>364</v>
      </c>
      <c r="D254">
        <v>311</v>
      </c>
      <c r="E254" t="s">
        <v>15</v>
      </c>
      <c r="F254">
        <v>288</v>
      </c>
      <c r="G254">
        <v>656</v>
      </c>
      <c r="H254">
        <v>553.08000000000004</v>
      </c>
      <c r="I254">
        <v>253</v>
      </c>
      <c r="J254">
        <v>-3.96</v>
      </c>
      <c r="K254">
        <v>2022</v>
      </c>
      <c r="L254">
        <v>3</v>
      </c>
      <c r="M254">
        <v>86</v>
      </c>
      <c r="N254" t="s">
        <v>34</v>
      </c>
    </row>
    <row r="255" spans="1:14" x14ac:dyDescent="0.25">
      <c r="A255" t="s">
        <v>292</v>
      </c>
      <c r="B255">
        <v>1105</v>
      </c>
      <c r="C255">
        <v>281</v>
      </c>
      <c r="D255">
        <v>291</v>
      </c>
      <c r="E255" t="s">
        <v>15</v>
      </c>
      <c r="F255">
        <v>295</v>
      </c>
      <c r="G255">
        <v>693</v>
      </c>
      <c r="H255">
        <v>550.11</v>
      </c>
      <c r="I255">
        <v>254</v>
      </c>
      <c r="J255">
        <v>-2.97</v>
      </c>
      <c r="K255" t="s">
        <v>16</v>
      </c>
      <c r="L255" t="s">
        <v>16</v>
      </c>
      <c r="M255" t="s">
        <v>16</v>
      </c>
      <c r="N255" t="s">
        <v>16</v>
      </c>
    </row>
    <row r="256" spans="1:14" x14ac:dyDescent="0.25">
      <c r="A256" t="s">
        <v>293</v>
      </c>
      <c r="B256">
        <v>1084</v>
      </c>
      <c r="C256">
        <v>270</v>
      </c>
      <c r="D256">
        <v>294</v>
      </c>
      <c r="E256" t="s">
        <v>63</v>
      </c>
      <c r="F256">
        <v>297</v>
      </c>
      <c r="G256">
        <v>677</v>
      </c>
      <c r="H256">
        <v>535.91999999999996</v>
      </c>
      <c r="I256">
        <v>255</v>
      </c>
      <c r="J256">
        <v>-14.19</v>
      </c>
      <c r="K256">
        <v>2018</v>
      </c>
      <c r="L256">
        <v>5</v>
      </c>
      <c r="M256">
        <v>157</v>
      </c>
      <c r="N256" t="s">
        <v>34</v>
      </c>
    </row>
    <row r="257" spans="1:14" x14ac:dyDescent="0.25">
      <c r="A257" t="s">
        <v>294</v>
      </c>
      <c r="B257">
        <v>1067</v>
      </c>
      <c r="C257">
        <v>270</v>
      </c>
      <c r="D257">
        <v>297</v>
      </c>
      <c r="E257" t="s">
        <v>20</v>
      </c>
      <c r="F257">
        <v>298</v>
      </c>
      <c r="G257">
        <v>668.5</v>
      </c>
      <c r="H257">
        <v>530.30999999999995</v>
      </c>
      <c r="I257">
        <v>256</v>
      </c>
      <c r="J257">
        <v>-5.61</v>
      </c>
      <c r="K257">
        <v>2013</v>
      </c>
      <c r="L257">
        <v>2</v>
      </c>
      <c r="M257">
        <v>41</v>
      </c>
      <c r="N257" t="s">
        <v>27</v>
      </c>
    </row>
    <row r="258" spans="1:14" x14ac:dyDescent="0.25">
      <c r="A258" t="s">
        <v>295</v>
      </c>
      <c r="B258">
        <v>1136</v>
      </c>
      <c r="C258">
        <v>205</v>
      </c>
      <c r="D258">
        <v>286</v>
      </c>
      <c r="E258" t="s">
        <v>20</v>
      </c>
      <c r="F258">
        <v>310</v>
      </c>
      <c r="G258">
        <v>670.5</v>
      </c>
      <c r="H258">
        <v>510.18</v>
      </c>
      <c r="I258">
        <v>257</v>
      </c>
      <c r="J258">
        <v>-20.13</v>
      </c>
      <c r="K258" t="s">
        <v>16</v>
      </c>
      <c r="L258" t="s">
        <v>16</v>
      </c>
      <c r="M258" t="s">
        <v>16</v>
      </c>
      <c r="N258" t="s">
        <v>17</v>
      </c>
    </row>
    <row r="259" spans="1:14" x14ac:dyDescent="0.25">
      <c r="A259" t="s">
        <v>296</v>
      </c>
      <c r="B259">
        <v>1037</v>
      </c>
      <c r="C259">
        <v>244</v>
      </c>
      <c r="D259">
        <v>300</v>
      </c>
      <c r="E259" t="s">
        <v>63</v>
      </c>
      <c r="F259">
        <v>302</v>
      </c>
      <c r="G259">
        <v>640.5</v>
      </c>
      <c r="H259">
        <v>503.25</v>
      </c>
      <c r="I259">
        <v>258</v>
      </c>
      <c r="J259">
        <v>-6.93</v>
      </c>
      <c r="K259">
        <v>2019</v>
      </c>
      <c r="L259">
        <v>4</v>
      </c>
      <c r="M259">
        <v>137</v>
      </c>
      <c r="N259" t="s">
        <v>16</v>
      </c>
    </row>
    <row r="260" spans="1:14" x14ac:dyDescent="0.25">
      <c r="A260" t="s">
        <v>297</v>
      </c>
      <c r="B260">
        <v>897</v>
      </c>
      <c r="C260">
        <v>299</v>
      </c>
      <c r="D260">
        <v>318</v>
      </c>
      <c r="E260" t="s">
        <v>20</v>
      </c>
      <c r="F260">
        <v>292</v>
      </c>
      <c r="G260">
        <v>598</v>
      </c>
      <c r="H260">
        <v>493.35</v>
      </c>
      <c r="I260">
        <v>259</v>
      </c>
      <c r="J260">
        <v>-9.9</v>
      </c>
      <c r="K260" t="s">
        <v>16</v>
      </c>
      <c r="L260" t="s">
        <v>16</v>
      </c>
      <c r="M260" t="s">
        <v>16</v>
      </c>
      <c r="N260" t="s">
        <v>16</v>
      </c>
    </row>
    <row r="261" spans="1:14" x14ac:dyDescent="0.25">
      <c r="A261" t="s">
        <v>298</v>
      </c>
      <c r="B261">
        <v>1072</v>
      </c>
      <c r="C261">
        <v>208</v>
      </c>
      <c r="D261">
        <v>296</v>
      </c>
      <c r="E261" t="s">
        <v>33</v>
      </c>
      <c r="F261">
        <v>308</v>
      </c>
      <c r="G261">
        <v>640</v>
      </c>
      <c r="H261">
        <v>491.04</v>
      </c>
      <c r="I261">
        <v>260</v>
      </c>
      <c r="J261">
        <v>-2.31</v>
      </c>
      <c r="K261">
        <v>2020</v>
      </c>
      <c r="L261">
        <v>4</v>
      </c>
      <c r="M261">
        <v>112</v>
      </c>
      <c r="N261" t="s">
        <v>17</v>
      </c>
    </row>
    <row r="262" spans="1:14" x14ac:dyDescent="0.25">
      <c r="A262" t="s">
        <v>299</v>
      </c>
      <c r="B262">
        <v>1127</v>
      </c>
      <c r="C262">
        <v>165</v>
      </c>
      <c r="D262">
        <v>287</v>
      </c>
      <c r="E262" t="s">
        <v>20</v>
      </c>
      <c r="F262">
        <v>314</v>
      </c>
      <c r="G262">
        <v>646</v>
      </c>
      <c r="H262">
        <v>480.81</v>
      </c>
      <c r="I262">
        <v>261</v>
      </c>
      <c r="J262">
        <v>-10.23</v>
      </c>
      <c r="K262">
        <v>2022</v>
      </c>
      <c r="L262">
        <v>5</v>
      </c>
      <c r="M262">
        <v>163</v>
      </c>
      <c r="N262" t="s">
        <v>55</v>
      </c>
    </row>
    <row r="263" spans="1:14" x14ac:dyDescent="0.25">
      <c r="A263" t="s">
        <v>300</v>
      </c>
      <c r="B263">
        <v>1007</v>
      </c>
      <c r="C263">
        <v>216</v>
      </c>
      <c r="D263">
        <v>305</v>
      </c>
      <c r="E263" t="s">
        <v>20</v>
      </c>
      <c r="F263">
        <v>306</v>
      </c>
      <c r="G263">
        <v>611.5</v>
      </c>
      <c r="H263">
        <v>474.87</v>
      </c>
      <c r="I263">
        <v>262</v>
      </c>
      <c r="J263">
        <v>-5.94</v>
      </c>
      <c r="K263" t="s">
        <v>16</v>
      </c>
      <c r="L263" t="s">
        <v>16</v>
      </c>
      <c r="M263" t="s">
        <v>16</v>
      </c>
      <c r="N263" t="s">
        <v>16</v>
      </c>
    </row>
    <row r="264" spans="1:14" x14ac:dyDescent="0.25">
      <c r="A264" t="s">
        <v>301</v>
      </c>
      <c r="B264">
        <v>1177</v>
      </c>
      <c r="C264">
        <v>129</v>
      </c>
      <c r="D264">
        <v>283</v>
      </c>
      <c r="E264" t="s">
        <v>20</v>
      </c>
      <c r="F264">
        <v>319</v>
      </c>
      <c r="G264">
        <v>653</v>
      </c>
      <c r="H264">
        <v>473.55</v>
      </c>
      <c r="I264">
        <v>263</v>
      </c>
      <c r="J264">
        <v>-1.32</v>
      </c>
      <c r="K264">
        <v>2017</v>
      </c>
      <c r="L264">
        <v>1</v>
      </c>
      <c r="M264">
        <v>5</v>
      </c>
      <c r="N264" t="s">
        <v>16</v>
      </c>
    </row>
    <row r="265" spans="1:14" x14ac:dyDescent="0.25">
      <c r="A265" t="s">
        <v>302</v>
      </c>
      <c r="B265">
        <v>1320</v>
      </c>
      <c r="C265">
        <v>48</v>
      </c>
      <c r="D265">
        <v>262</v>
      </c>
      <c r="E265" t="s">
        <v>33</v>
      </c>
      <c r="F265">
        <v>335</v>
      </c>
      <c r="G265">
        <v>684</v>
      </c>
      <c r="H265">
        <v>467.28</v>
      </c>
      <c r="I265">
        <v>264</v>
      </c>
      <c r="J265">
        <v>-6.27</v>
      </c>
      <c r="K265">
        <v>2019</v>
      </c>
      <c r="L265">
        <v>6</v>
      </c>
      <c r="M265">
        <v>182</v>
      </c>
      <c r="N265" t="s">
        <v>21</v>
      </c>
    </row>
    <row r="266" spans="1:14" x14ac:dyDescent="0.25">
      <c r="A266" t="s">
        <v>303</v>
      </c>
      <c r="B266">
        <v>1319</v>
      </c>
      <c r="C266">
        <v>40</v>
      </c>
      <c r="D266">
        <v>263</v>
      </c>
      <c r="E266" t="s">
        <v>20</v>
      </c>
      <c r="F266">
        <v>337</v>
      </c>
      <c r="G266">
        <v>679.5</v>
      </c>
      <c r="H266">
        <v>461.67</v>
      </c>
      <c r="I266">
        <v>265</v>
      </c>
      <c r="J266">
        <v>-5.61</v>
      </c>
      <c r="K266" t="s">
        <v>16</v>
      </c>
      <c r="L266" t="s">
        <v>16</v>
      </c>
      <c r="M266" t="s">
        <v>16</v>
      </c>
      <c r="N266" t="s">
        <v>24</v>
      </c>
    </row>
    <row r="267" spans="1:14" x14ac:dyDescent="0.25">
      <c r="A267" t="s">
        <v>304</v>
      </c>
      <c r="B267">
        <v>1208</v>
      </c>
      <c r="C267">
        <v>91</v>
      </c>
      <c r="D267">
        <v>279</v>
      </c>
      <c r="E267" t="s">
        <v>33</v>
      </c>
      <c r="F267">
        <v>328</v>
      </c>
      <c r="G267">
        <v>649.5</v>
      </c>
      <c r="H267">
        <v>458.7</v>
      </c>
      <c r="I267">
        <v>266</v>
      </c>
      <c r="J267">
        <v>-2.97</v>
      </c>
      <c r="K267" t="s">
        <v>16</v>
      </c>
      <c r="L267" t="s">
        <v>16</v>
      </c>
      <c r="M267" t="s">
        <v>16</v>
      </c>
      <c r="N267" t="s">
        <v>16</v>
      </c>
    </row>
    <row r="268" spans="1:14" x14ac:dyDescent="0.25">
      <c r="A268" t="s">
        <v>305</v>
      </c>
      <c r="B268">
        <v>971</v>
      </c>
      <c r="C268">
        <v>191</v>
      </c>
      <c r="D268">
        <v>308</v>
      </c>
      <c r="E268" t="s">
        <v>63</v>
      </c>
      <c r="F268">
        <v>311</v>
      </c>
      <c r="G268">
        <v>581</v>
      </c>
      <c r="H268">
        <v>446.49</v>
      </c>
      <c r="I268">
        <v>267</v>
      </c>
      <c r="J268">
        <v>-12.21</v>
      </c>
      <c r="K268" t="s">
        <v>16</v>
      </c>
      <c r="L268" t="s">
        <v>16</v>
      </c>
      <c r="M268" t="s">
        <v>16</v>
      </c>
      <c r="N268" t="s">
        <v>16</v>
      </c>
    </row>
    <row r="269" spans="1:14" x14ac:dyDescent="0.25">
      <c r="A269" t="s">
        <v>306</v>
      </c>
      <c r="B269">
        <v>1057</v>
      </c>
      <c r="C269">
        <v>146</v>
      </c>
      <c r="D269">
        <v>298</v>
      </c>
      <c r="E269" t="s">
        <v>15</v>
      </c>
      <c r="F269">
        <v>317</v>
      </c>
      <c r="G269">
        <v>601.5</v>
      </c>
      <c r="H269">
        <v>445.17</v>
      </c>
      <c r="I269">
        <v>268</v>
      </c>
      <c r="J269">
        <v>-1.32</v>
      </c>
      <c r="K269">
        <v>2021</v>
      </c>
      <c r="L269">
        <v>3</v>
      </c>
      <c r="M269">
        <v>67</v>
      </c>
      <c r="N269" t="s">
        <v>16</v>
      </c>
    </row>
    <row r="270" spans="1:14" x14ac:dyDescent="0.25">
      <c r="A270" t="s">
        <v>307</v>
      </c>
      <c r="B270">
        <v>1101</v>
      </c>
      <c r="C270">
        <v>110</v>
      </c>
      <c r="D270">
        <v>292</v>
      </c>
      <c r="E270" t="s">
        <v>20</v>
      </c>
      <c r="F270">
        <v>323</v>
      </c>
      <c r="G270">
        <v>605.5</v>
      </c>
      <c r="H270">
        <v>435.93</v>
      </c>
      <c r="I270">
        <v>269</v>
      </c>
      <c r="J270">
        <v>-9.24</v>
      </c>
      <c r="K270" t="s">
        <v>16</v>
      </c>
      <c r="L270" t="s">
        <v>16</v>
      </c>
      <c r="M270" t="s">
        <v>16</v>
      </c>
      <c r="N270" t="s">
        <v>24</v>
      </c>
    </row>
    <row r="271" spans="1:14" x14ac:dyDescent="0.25">
      <c r="A271" t="s">
        <v>308</v>
      </c>
      <c r="B271">
        <v>1118</v>
      </c>
      <c r="C271">
        <v>96</v>
      </c>
      <c r="D271">
        <v>290</v>
      </c>
      <c r="E271" t="s">
        <v>20</v>
      </c>
      <c r="F271">
        <v>325</v>
      </c>
      <c r="G271">
        <v>607</v>
      </c>
      <c r="H271">
        <v>432.3</v>
      </c>
      <c r="I271">
        <v>270</v>
      </c>
      <c r="J271">
        <v>-3.63</v>
      </c>
      <c r="K271" t="s">
        <v>16</v>
      </c>
      <c r="L271" t="s">
        <v>16</v>
      </c>
      <c r="M271" t="s">
        <v>16</v>
      </c>
      <c r="N271" t="s">
        <v>21</v>
      </c>
    </row>
    <row r="272" spans="1:14" x14ac:dyDescent="0.25">
      <c r="A272" t="s">
        <v>309</v>
      </c>
      <c r="B272">
        <v>1034</v>
      </c>
      <c r="C272">
        <v>134</v>
      </c>
      <c r="D272">
        <v>301</v>
      </c>
      <c r="E272" t="s">
        <v>33</v>
      </c>
      <c r="F272">
        <v>318</v>
      </c>
      <c r="G272">
        <v>584</v>
      </c>
      <c r="H272">
        <v>429.66</v>
      </c>
      <c r="I272">
        <v>271</v>
      </c>
      <c r="J272">
        <v>-2.64</v>
      </c>
      <c r="K272" t="s">
        <v>16</v>
      </c>
      <c r="L272" t="s">
        <v>16</v>
      </c>
      <c r="M272" t="s">
        <v>16</v>
      </c>
      <c r="N272" t="s">
        <v>16</v>
      </c>
    </row>
    <row r="273" spans="1:14" x14ac:dyDescent="0.25">
      <c r="A273" t="s">
        <v>310</v>
      </c>
      <c r="B273">
        <v>849</v>
      </c>
      <c r="C273">
        <v>214</v>
      </c>
      <c r="D273">
        <v>325</v>
      </c>
      <c r="E273" t="s">
        <v>33</v>
      </c>
      <c r="F273">
        <v>307</v>
      </c>
      <c r="G273">
        <v>531.5</v>
      </c>
      <c r="H273">
        <v>421.41</v>
      </c>
      <c r="I273">
        <v>272</v>
      </c>
      <c r="J273">
        <v>-8.25</v>
      </c>
      <c r="K273">
        <v>2013</v>
      </c>
      <c r="L273">
        <v>1</v>
      </c>
      <c r="M273">
        <v>29</v>
      </c>
      <c r="N273" t="s">
        <v>37</v>
      </c>
    </row>
    <row r="274" spans="1:14" x14ac:dyDescent="0.25">
      <c r="A274" t="s">
        <v>311</v>
      </c>
      <c r="B274">
        <v>1119</v>
      </c>
      <c r="C274">
        <v>70</v>
      </c>
      <c r="D274">
        <v>289</v>
      </c>
      <c r="E274" t="s">
        <v>20</v>
      </c>
      <c r="F274">
        <v>330</v>
      </c>
      <c r="G274">
        <v>594.5</v>
      </c>
      <c r="H274">
        <v>415.47</v>
      </c>
      <c r="I274">
        <v>273</v>
      </c>
      <c r="J274">
        <v>-5.94</v>
      </c>
      <c r="K274">
        <v>2020</v>
      </c>
      <c r="L274">
        <v>3</v>
      </c>
      <c r="M274">
        <v>92</v>
      </c>
      <c r="N274" t="s">
        <v>16</v>
      </c>
    </row>
    <row r="275" spans="1:14" x14ac:dyDescent="0.25">
      <c r="A275" t="s">
        <v>312</v>
      </c>
      <c r="B275">
        <v>1165</v>
      </c>
      <c r="C275">
        <v>45</v>
      </c>
      <c r="D275">
        <v>284</v>
      </c>
      <c r="E275" t="s">
        <v>63</v>
      </c>
      <c r="F275">
        <v>336</v>
      </c>
      <c r="G275">
        <v>605</v>
      </c>
      <c r="H275">
        <v>414.15</v>
      </c>
      <c r="I275">
        <v>274</v>
      </c>
      <c r="J275">
        <v>-1.32</v>
      </c>
      <c r="K275">
        <v>2020</v>
      </c>
      <c r="L275">
        <v>4</v>
      </c>
      <c r="M275">
        <v>118</v>
      </c>
      <c r="N275" t="s">
        <v>37</v>
      </c>
    </row>
    <row r="276" spans="1:14" x14ac:dyDescent="0.25">
      <c r="A276" t="s">
        <v>313</v>
      </c>
      <c r="B276">
        <v>1155</v>
      </c>
      <c r="C276">
        <v>50</v>
      </c>
      <c r="D276">
        <v>285</v>
      </c>
      <c r="E276" t="s">
        <v>63</v>
      </c>
      <c r="F276">
        <v>334</v>
      </c>
      <c r="G276">
        <v>602.5</v>
      </c>
      <c r="H276">
        <v>414.15</v>
      </c>
      <c r="I276">
        <v>275</v>
      </c>
      <c r="J276">
        <v>0</v>
      </c>
      <c r="K276">
        <v>2021</v>
      </c>
      <c r="L276">
        <v>5</v>
      </c>
      <c r="M276">
        <v>162</v>
      </c>
      <c r="N276" t="s">
        <v>21</v>
      </c>
    </row>
    <row r="277" spans="1:14" x14ac:dyDescent="0.25">
      <c r="A277" t="s">
        <v>314</v>
      </c>
      <c r="B277">
        <v>1092</v>
      </c>
      <c r="C277">
        <v>60</v>
      </c>
      <c r="D277">
        <v>293</v>
      </c>
      <c r="E277" t="s">
        <v>15</v>
      </c>
      <c r="F277">
        <v>331</v>
      </c>
      <c r="G277">
        <v>576</v>
      </c>
      <c r="H277">
        <v>399.96</v>
      </c>
      <c r="I277">
        <v>276</v>
      </c>
      <c r="J277">
        <v>-14.19</v>
      </c>
      <c r="K277">
        <v>2015</v>
      </c>
      <c r="L277">
        <v>1</v>
      </c>
      <c r="M277">
        <v>1</v>
      </c>
      <c r="N277" t="s">
        <v>16</v>
      </c>
    </row>
    <row r="278" spans="1:14" x14ac:dyDescent="0.25">
      <c r="A278" t="s">
        <v>315</v>
      </c>
      <c r="B278">
        <v>793</v>
      </c>
      <c r="C278">
        <v>191</v>
      </c>
      <c r="D278">
        <v>335</v>
      </c>
      <c r="E278" t="s">
        <v>33</v>
      </c>
      <c r="F278">
        <v>312</v>
      </c>
      <c r="G278">
        <v>492</v>
      </c>
      <c r="H278">
        <v>387.75</v>
      </c>
      <c r="I278">
        <v>277</v>
      </c>
      <c r="J278">
        <v>-12.21</v>
      </c>
      <c r="K278">
        <v>2020</v>
      </c>
      <c r="L278">
        <v>3</v>
      </c>
      <c r="M278">
        <v>86</v>
      </c>
      <c r="N278" t="s">
        <v>37</v>
      </c>
    </row>
    <row r="279" spans="1:14" x14ac:dyDescent="0.25">
      <c r="A279" t="s">
        <v>316</v>
      </c>
      <c r="B279">
        <v>1010</v>
      </c>
      <c r="C279">
        <v>81</v>
      </c>
      <c r="D279">
        <v>304</v>
      </c>
      <c r="E279" t="s">
        <v>33</v>
      </c>
      <c r="F279">
        <v>329</v>
      </c>
      <c r="G279">
        <v>545.5</v>
      </c>
      <c r="H279">
        <v>386.76</v>
      </c>
      <c r="I279">
        <v>278</v>
      </c>
      <c r="J279">
        <v>-0.99</v>
      </c>
      <c r="K279">
        <v>2022</v>
      </c>
      <c r="L279">
        <v>4</v>
      </c>
      <c r="M279">
        <v>131</v>
      </c>
      <c r="N279" t="s">
        <v>24</v>
      </c>
    </row>
    <row r="280" spans="1:14" x14ac:dyDescent="0.25">
      <c r="A280" t="s">
        <v>317</v>
      </c>
      <c r="B280">
        <v>802</v>
      </c>
      <c r="C280">
        <v>181</v>
      </c>
      <c r="D280">
        <v>334</v>
      </c>
      <c r="E280" t="s">
        <v>63</v>
      </c>
      <c r="F280">
        <v>313</v>
      </c>
      <c r="G280">
        <v>491.5</v>
      </c>
      <c r="H280">
        <v>384.12</v>
      </c>
      <c r="I280">
        <v>279</v>
      </c>
      <c r="J280">
        <v>-2.64</v>
      </c>
      <c r="K280" t="s">
        <v>16</v>
      </c>
      <c r="L280" t="s">
        <v>16</v>
      </c>
      <c r="M280" t="s">
        <v>16</v>
      </c>
      <c r="N280" t="s">
        <v>16</v>
      </c>
    </row>
    <row r="281" spans="1:14" x14ac:dyDescent="0.25">
      <c r="A281" t="s">
        <v>318</v>
      </c>
      <c r="B281">
        <v>898</v>
      </c>
      <c r="C281">
        <v>112</v>
      </c>
      <c r="D281">
        <v>317</v>
      </c>
      <c r="E281" t="s">
        <v>33</v>
      </c>
      <c r="F281">
        <v>322</v>
      </c>
      <c r="G281">
        <v>505</v>
      </c>
      <c r="H281">
        <v>370.26</v>
      </c>
      <c r="I281">
        <v>280</v>
      </c>
      <c r="J281">
        <v>-13.86</v>
      </c>
      <c r="K281">
        <v>2018</v>
      </c>
      <c r="L281">
        <v>4</v>
      </c>
      <c r="M281">
        <v>134</v>
      </c>
      <c r="N281" t="s">
        <v>16</v>
      </c>
    </row>
    <row r="282" spans="1:14" x14ac:dyDescent="0.25">
      <c r="A282" t="s">
        <v>319</v>
      </c>
      <c r="B282">
        <v>865</v>
      </c>
      <c r="C282">
        <v>125</v>
      </c>
      <c r="D282">
        <v>324</v>
      </c>
      <c r="E282" t="s">
        <v>33</v>
      </c>
      <c r="F282">
        <v>320</v>
      </c>
      <c r="G282">
        <v>495</v>
      </c>
      <c r="H282">
        <v>367.95</v>
      </c>
      <c r="I282">
        <v>281</v>
      </c>
      <c r="J282">
        <v>-2.31</v>
      </c>
      <c r="K282">
        <v>2022</v>
      </c>
      <c r="L282">
        <v>5</v>
      </c>
      <c r="M282">
        <v>169</v>
      </c>
      <c r="N282" t="s">
        <v>16</v>
      </c>
    </row>
    <row r="283" spans="1:14" x14ac:dyDescent="0.25">
      <c r="A283" t="s">
        <v>320</v>
      </c>
      <c r="B283">
        <v>881</v>
      </c>
      <c r="C283">
        <v>94</v>
      </c>
      <c r="D283">
        <v>323</v>
      </c>
      <c r="E283" t="s">
        <v>33</v>
      </c>
      <c r="F283">
        <v>326</v>
      </c>
      <c r="G283">
        <v>487.5</v>
      </c>
      <c r="H283">
        <v>352.77</v>
      </c>
      <c r="I283">
        <v>282</v>
      </c>
      <c r="J283">
        <v>-15.18</v>
      </c>
      <c r="K283" t="s">
        <v>16</v>
      </c>
      <c r="L283" t="s">
        <v>16</v>
      </c>
      <c r="M283" t="s">
        <v>16</v>
      </c>
      <c r="N283" t="s">
        <v>16</v>
      </c>
    </row>
    <row r="284" spans="1:14" x14ac:dyDescent="0.25">
      <c r="A284" t="s">
        <v>321</v>
      </c>
      <c r="B284">
        <v>744</v>
      </c>
      <c r="C284">
        <v>125</v>
      </c>
      <c r="D284">
        <v>346</v>
      </c>
      <c r="E284" t="s">
        <v>63</v>
      </c>
      <c r="F284">
        <v>321</v>
      </c>
      <c r="G284">
        <v>434.5</v>
      </c>
      <c r="H284">
        <v>328.02</v>
      </c>
      <c r="I284">
        <v>283</v>
      </c>
      <c r="J284">
        <v>-24.75</v>
      </c>
      <c r="K284">
        <v>2016</v>
      </c>
      <c r="L284">
        <v>3</v>
      </c>
      <c r="M284">
        <v>81</v>
      </c>
      <c r="N284" t="s">
        <v>43</v>
      </c>
    </row>
    <row r="285" spans="1:14" x14ac:dyDescent="0.25">
      <c r="A285" t="s">
        <v>322</v>
      </c>
      <c r="B285">
        <v>958</v>
      </c>
      <c r="C285">
        <v>13</v>
      </c>
      <c r="D285">
        <v>309</v>
      </c>
      <c r="E285" t="s">
        <v>33</v>
      </c>
      <c r="F285">
        <v>345</v>
      </c>
      <c r="G285">
        <v>485.5</v>
      </c>
      <c r="H285">
        <v>324.72000000000003</v>
      </c>
      <c r="I285">
        <v>284</v>
      </c>
      <c r="J285">
        <v>-3.3</v>
      </c>
      <c r="K285">
        <v>2018</v>
      </c>
      <c r="L285">
        <v>4</v>
      </c>
      <c r="M285">
        <v>104</v>
      </c>
      <c r="N285" t="s">
        <v>16</v>
      </c>
    </row>
    <row r="286" spans="1:14" x14ac:dyDescent="0.25">
      <c r="A286" t="s">
        <v>323</v>
      </c>
      <c r="B286">
        <v>955</v>
      </c>
      <c r="C286">
        <v>7</v>
      </c>
      <c r="D286">
        <v>310</v>
      </c>
      <c r="E286" t="s">
        <v>20</v>
      </c>
      <c r="F286">
        <v>348</v>
      </c>
      <c r="G286">
        <v>481</v>
      </c>
      <c r="H286">
        <v>319.77</v>
      </c>
      <c r="I286">
        <v>285</v>
      </c>
      <c r="J286">
        <v>-4.95</v>
      </c>
      <c r="K286">
        <v>2018</v>
      </c>
      <c r="L286">
        <v>6</v>
      </c>
      <c r="M286">
        <v>194</v>
      </c>
      <c r="N286" t="s">
        <v>16</v>
      </c>
    </row>
    <row r="287" spans="1:14" x14ac:dyDescent="0.25">
      <c r="A287" t="s">
        <v>324</v>
      </c>
      <c r="B287">
        <v>849</v>
      </c>
      <c r="C287">
        <v>53</v>
      </c>
      <c r="D287">
        <v>326</v>
      </c>
      <c r="E287" t="s">
        <v>15</v>
      </c>
      <c r="F287">
        <v>332</v>
      </c>
      <c r="G287">
        <v>451</v>
      </c>
      <c r="H287">
        <v>315.14999999999998</v>
      </c>
      <c r="I287">
        <v>286</v>
      </c>
      <c r="J287">
        <v>-4.62</v>
      </c>
      <c r="K287" t="s">
        <v>16</v>
      </c>
      <c r="L287" t="s">
        <v>16</v>
      </c>
      <c r="M287" t="s">
        <v>16</v>
      </c>
      <c r="N287" t="s">
        <v>16</v>
      </c>
    </row>
    <row r="288" spans="1:14" x14ac:dyDescent="0.25">
      <c r="A288" t="s">
        <v>325</v>
      </c>
      <c r="B288">
        <v>509</v>
      </c>
      <c r="C288">
        <v>220</v>
      </c>
      <c r="D288">
        <v>379</v>
      </c>
      <c r="E288" t="s">
        <v>15</v>
      </c>
      <c r="F288">
        <v>305</v>
      </c>
      <c r="G288">
        <v>364.5</v>
      </c>
      <c r="H288">
        <v>313.17</v>
      </c>
      <c r="I288">
        <v>287</v>
      </c>
      <c r="J288">
        <v>-1.98</v>
      </c>
      <c r="K288">
        <v>2015</v>
      </c>
      <c r="L288">
        <v>1</v>
      </c>
      <c r="M288">
        <v>2</v>
      </c>
      <c r="N288" t="s">
        <v>16</v>
      </c>
    </row>
    <row r="289" spans="1:14" x14ac:dyDescent="0.25">
      <c r="A289" t="s">
        <v>326</v>
      </c>
      <c r="B289">
        <v>897</v>
      </c>
      <c r="C289">
        <v>17</v>
      </c>
      <c r="D289">
        <v>319</v>
      </c>
      <c r="E289" t="s">
        <v>20</v>
      </c>
      <c r="F289">
        <v>343</v>
      </c>
      <c r="G289">
        <v>457</v>
      </c>
      <c r="H289">
        <v>307.23</v>
      </c>
      <c r="I289">
        <v>288</v>
      </c>
      <c r="J289">
        <v>-5.94</v>
      </c>
      <c r="K289">
        <v>2022</v>
      </c>
      <c r="L289">
        <v>3</v>
      </c>
      <c r="M289">
        <v>88</v>
      </c>
      <c r="N289" t="s">
        <v>55</v>
      </c>
    </row>
    <row r="290" spans="1:14" x14ac:dyDescent="0.25">
      <c r="A290" t="s">
        <v>327</v>
      </c>
      <c r="B290">
        <v>355</v>
      </c>
      <c r="C290">
        <v>284</v>
      </c>
      <c r="D290">
        <v>418</v>
      </c>
      <c r="E290" t="s">
        <v>20</v>
      </c>
      <c r="F290">
        <v>294</v>
      </c>
      <c r="G290">
        <v>319.5</v>
      </c>
      <c r="H290">
        <v>304.58999999999997</v>
      </c>
      <c r="I290">
        <v>289</v>
      </c>
      <c r="J290">
        <v>-2.64</v>
      </c>
      <c r="K290" t="s">
        <v>16</v>
      </c>
      <c r="L290" t="s">
        <v>16</v>
      </c>
      <c r="M290" t="s">
        <v>16</v>
      </c>
      <c r="N290" t="s">
        <v>27</v>
      </c>
    </row>
    <row r="291" spans="1:14" x14ac:dyDescent="0.25">
      <c r="A291" t="s">
        <v>328</v>
      </c>
      <c r="B291">
        <v>843</v>
      </c>
      <c r="C291">
        <v>29</v>
      </c>
      <c r="D291">
        <v>327</v>
      </c>
      <c r="E291" t="s">
        <v>63</v>
      </c>
      <c r="F291">
        <v>339</v>
      </c>
      <c r="G291">
        <v>436</v>
      </c>
      <c r="H291">
        <v>297.33</v>
      </c>
      <c r="I291">
        <v>290</v>
      </c>
      <c r="J291">
        <v>-7.26</v>
      </c>
      <c r="K291" t="s">
        <v>16</v>
      </c>
      <c r="L291" t="s">
        <v>16</v>
      </c>
      <c r="M291" t="s">
        <v>16</v>
      </c>
      <c r="N291" t="s">
        <v>16</v>
      </c>
    </row>
    <row r="292" spans="1:14" x14ac:dyDescent="0.25">
      <c r="A292" t="s">
        <v>329</v>
      </c>
      <c r="B292">
        <v>520</v>
      </c>
      <c r="C292">
        <v>152</v>
      </c>
      <c r="D292">
        <v>377</v>
      </c>
      <c r="E292" t="s">
        <v>15</v>
      </c>
      <c r="F292">
        <v>316</v>
      </c>
      <c r="G292">
        <v>336</v>
      </c>
      <c r="H292">
        <v>271.92</v>
      </c>
      <c r="I292">
        <v>291</v>
      </c>
      <c r="J292">
        <v>-25.41</v>
      </c>
      <c r="K292" t="s">
        <v>16</v>
      </c>
      <c r="L292" t="s">
        <v>16</v>
      </c>
      <c r="M292" t="s">
        <v>16</v>
      </c>
      <c r="N292" t="s">
        <v>16</v>
      </c>
    </row>
    <row r="293" spans="1:14" x14ac:dyDescent="0.25">
      <c r="A293" t="s">
        <v>330</v>
      </c>
      <c r="B293">
        <v>823</v>
      </c>
      <c r="C293">
        <v>0</v>
      </c>
      <c r="D293">
        <v>331</v>
      </c>
      <c r="E293" t="s">
        <v>20</v>
      </c>
      <c r="F293">
        <v>350</v>
      </c>
      <c r="G293">
        <v>411.5</v>
      </c>
      <c r="H293">
        <v>271.58999999999997</v>
      </c>
      <c r="I293">
        <v>292</v>
      </c>
      <c r="J293">
        <v>-0.33</v>
      </c>
      <c r="K293">
        <v>2017</v>
      </c>
      <c r="L293">
        <v>5</v>
      </c>
      <c r="M293">
        <v>172</v>
      </c>
      <c r="N293" t="s">
        <v>24</v>
      </c>
    </row>
    <row r="294" spans="1:14" x14ac:dyDescent="0.25">
      <c r="A294" t="s">
        <v>331</v>
      </c>
      <c r="B294">
        <v>771</v>
      </c>
      <c r="C294">
        <v>12</v>
      </c>
      <c r="D294">
        <v>341</v>
      </c>
      <c r="E294" t="s">
        <v>20</v>
      </c>
      <c r="F294">
        <v>346</v>
      </c>
      <c r="G294">
        <v>391.5</v>
      </c>
      <c r="H294">
        <v>262.35000000000002</v>
      </c>
      <c r="I294">
        <v>293</v>
      </c>
      <c r="J294">
        <v>-9.24</v>
      </c>
      <c r="K294" t="s">
        <v>16</v>
      </c>
      <c r="L294" t="s">
        <v>16</v>
      </c>
      <c r="M294" t="s">
        <v>16</v>
      </c>
      <c r="N294" t="s">
        <v>16</v>
      </c>
    </row>
    <row r="295" spans="1:14" x14ac:dyDescent="0.25">
      <c r="A295" t="s">
        <v>332</v>
      </c>
      <c r="B295">
        <v>758</v>
      </c>
      <c r="C295">
        <v>8</v>
      </c>
      <c r="D295">
        <v>343</v>
      </c>
      <c r="E295" t="s">
        <v>33</v>
      </c>
      <c r="F295">
        <v>347</v>
      </c>
      <c r="G295">
        <v>383</v>
      </c>
      <c r="H295">
        <v>255.42</v>
      </c>
      <c r="I295">
        <v>294</v>
      </c>
      <c r="J295">
        <v>-6.93</v>
      </c>
      <c r="K295" t="s">
        <v>16</v>
      </c>
      <c r="L295" t="s">
        <v>16</v>
      </c>
      <c r="M295" t="s">
        <v>16</v>
      </c>
      <c r="N295" t="s">
        <v>16</v>
      </c>
    </row>
    <row r="296" spans="1:14" x14ac:dyDescent="0.25">
      <c r="A296" t="s">
        <v>333</v>
      </c>
      <c r="B296">
        <v>687</v>
      </c>
      <c r="C296">
        <v>36</v>
      </c>
      <c r="D296">
        <v>352</v>
      </c>
      <c r="E296" t="s">
        <v>20</v>
      </c>
      <c r="F296">
        <v>338</v>
      </c>
      <c r="G296">
        <v>361.5</v>
      </c>
      <c r="H296">
        <v>250.47</v>
      </c>
      <c r="I296">
        <v>295</v>
      </c>
      <c r="J296">
        <v>-4.95</v>
      </c>
      <c r="K296" t="s">
        <v>16</v>
      </c>
      <c r="L296" t="s">
        <v>16</v>
      </c>
      <c r="M296" t="s">
        <v>16</v>
      </c>
      <c r="N296" t="s">
        <v>16</v>
      </c>
    </row>
    <row r="297" spans="1:14" x14ac:dyDescent="0.25">
      <c r="A297" t="s">
        <v>334</v>
      </c>
      <c r="B297">
        <v>632</v>
      </c>
      <c r="C297">
        <v>53</v>
      </c>
      <c r="D297">
        <v>358</v>
      </c>
      <c r="E297" t="s">
        <v>20</v>
      </c>
      <c r="F297">
        <v>333</v>
      </c>
      <c r="G297">
        <v>342.5</v>
      </c>
      <c r="H297">
        <v>243.54</v>
      </c>
      <c r="I297">
        <v>296</v>
      </c>
      <c r="J297">
        <v>-6.93</v>
      </c>
      <c r="K297">
        <v>2015</v>
      </c>
      <c r="L297">
        <v>1</v>
      </c>
      <c r="M297">
        <v>14</v>
      </c>
      <c r="N297" t="s">
        <v>16</v>
      </c>
    </row>
    <row r="298" spans="1:14" x14ac:dyDescent="0.25">
      <c r="A298" t="s">
        <v>335</v>
      </c>
      <c r="B298">
        <v>666</v>
      </c>
      <c r="C298">
        <v>18</v>
      </c>
      <c r="D298">
        <v>354</v>
      </c>
      <c r="E298" t="s">
        <v>15</v>
      </c>
      <c r="F298">
        <v>341</v>
      </c>
      <c r="G298">
        <v>342</v>
      </c>
      <c r="H298">
        <v>231.66</v>
      </c>
      <c r="I298">
        <v>297</v>
      </c>
      <c r="J298">
        <v>-11.88</v>
      </c>
      <c r="K298">
        <v>2019</v>
      </c>
      <c r="L298">
        <v>4</v>
      </c>
      <c r="M298">
        <v>133</v>
      </c>
      <c r="N298" t="s">
        <v>55</v>
      </c>
    </row>
    <row r="299" spans="1:14" x14ac:dyDescent="0.25">
      <c r="A299" t="s">
        <v>336</v>
      </c>
      <c r="B299">
        <v>320</v>
      </c>
      <c r="C299">
        <v>157</v>
      </c>
      <c r="D299">
        <v>424</v>
      </c>
      <c r="E299" t="s">
        <v>15</v>
      </c>
      <c r="F299">
        <v>315</v>
      </c>
      <c r="G299">
        <v>238.5</v>
      </c>
      <c r="H299">
        <v>209.22</v>
      </c>
      <c r="I299">
        <v>298</v>
      </c>
      <c r="J299">
        <v>-22.44</v>
      </c>
      <c r="K299" t="s">
        <v>16</v>
      </c>
      <c r="L299" t="s">
        <v>16</v>
      </c>
      <c r="M299" t="s">
        <v>16</v>
      </c>
      <c r="N299" t="s">
        <v>16</v>
      </c>
    </row>
    <row r="300" spans="1:14" x14ac:dyDescent="0.25">
      <c r="A300" t="s">
        <v>337</v>
      </c>
      <c r="B300">
        <v>531</v>
      </c>
      <c r="C300">
        <v>16</v>
      </c>
      <c r="D300">
        <v>373</v>
      </c>
      <c r="E300" t="s">
        <v>20</v>
      </c>
      <c r="F300">
        <v>344</v>
      </c>
      <c r="G300">
        <v>273.5</v>
      </c>
      <c r="H300">
        <v>185.79</v>
      </c>
      <c r="I300">
        <v>299</v>
      </c>
      <c r="J300">
        <v>-23.43</v>
      </c>
      <c r="K300">
        <v>2012</v>
      </c>
      <c r="L300">
        <v>5</v>
      </c>
      <c r="M300">
        <v>166</v>
      </c>
      <c r="N300" t="s">
        <v>16</v>
      </c>
    </row>
    <row r="301" spans="1:14" x14ac:dyDescent="0.25">
      <c r="A301" t="s">
        <v>338</v>
      </c>
      <c r="B301">
        <v>227</v>
      </c>
      <c r="C301">
        <v>107</v>
      </c>
      <c r="D301">
        <v>442</v>
      </c>
      <c r="E301" t="s">
        <v>15</v>
      </c>
      <c r="F301">
        <v>324</v>
      </c>
      <c r="G301">
        <v>167</v>
      </c>
      <c r="H301">
        <v>145.53</v>
      </c>
      <c r="I301">
        <v>300</v>
      </c>
      <c r="J301">
        <v>-40.26</v>
      </c>
      <c r="K301">
        <v>2011</v>
      </c>
      <c r="L301">
        <v>2</v>
      </c>
      <c r="M301">
        <v>35</v>
      </c>
      <c r="N301" t="s">
        <v>43</v>
      </c>
    </row>
    <row r="302" spans="1:14" x14ac:dyDescent="0.25">
      <c r="A302" t="s">
        <v>339</v>
      </c>
      <c r="B302">
        <v>297</v>
      </c>
      <c r="C302">
        <v>19</v>
      </c>
      <c r="D302">
        <v>428</v>
      </c>
      <c r="E302" t="s">
        <v>33</v>
      </c>
      <c r="F302">
        <v>340</v>
      </c>
      <c r="G302">
        <v>158</v>
      </c>
      <c r="H302">
        <v>110.55</v>
      </c>
      <c r="I302">
        <v>301</v>
      </c>
      <c r="J302">
        <v>-34.979999999999997</v>
      </c>
      <c r="K302">
        <v>2013</v>
      </c>
      <c r="L302">
        <v>6</v>
      </c>
      <c r="M302">
        <v>181</v>
      </c>
      <c r="N302" t="s">
        <v>16</v>
      </c>
    </row>
    <row r="303" spans="1:14" x14ac:dyDescent="0.25">
      <c r="A303" t="s">
        <v>340</v>
      </c>
      <c r="B303">
        <v>0</v>
      </c>
      <c r="C303">
        <v>2</v>
      </c>
      <c r="D303">
        <v>479</v>
      </c>
      <c r="E303" t="s">
        <v>15</v>
      </c>
      <c r="F303">
        <v>349</v>
      </c>
      <c r="G303">
        <v>1</v>
      </c>
      <c r="H303">
        <v>1.32</v>
      </c>
      <c r="I303">
        <v>302</v>
      </c>
      <c r="J303">
        <v>-109.23</v>
      </c>
      <c r="K303">
        <v>2010</v>
      </c>
      <c r="L303">
        <v>3</v>
      </c>
      <c r="M303">
        <v>85</v>
      </c>
      <c r="N303" t="s">
        <v>16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combined_analysis_weighted_bi_n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CJ Tracey</dc:creator>
  <cp:lastModifiedBy>CJ Tracey</cp:lastModifiedBy>
  <dcterms:created xsi:type="dcterms:W3CDTF">2023-05-27T03:08:08Z</dcterms:created>
  <dcterms:modified xsi:type="dcterms:W3CDTF">2023-05-27T03:08:08Z</dcterms:modified>
</cp:coreProperties>
</file>